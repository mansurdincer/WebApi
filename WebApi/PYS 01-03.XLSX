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Mansur\Desktop\Yalın\"/>
    </mc:Choice>
  </mc:AlternateContent>
  <xr:revisionPtr revIDLastSave="0" documentId="8_{BF9277DE-234D-4C3D-9ED3-C1AAFFCDE7DC}" xr6:coauthVersionLast="36" xr6:coauthVersionMax="36" xr10:uidLastSave="{00000000-0000-0000-0000-000000000000}"/>
  <bookViews>
    <workbookView xWindow="0" yWindow="0" windowWidth="19200" windowHeight="6945" tabRatio="758" activeTab="8" xr2:uid="{00000000-000D-0000-FFFF-FFFF00000000}"/>
  </bookViews>
  <sheets>
    <sheet name="Çalışan Listesi" sheetId="14" r:id="rId1"/>
    <sheet name="Kriter Ağırlık" sheetId="4" r:id="rId2"/>
    <sheet name="Devamsızlıklar" sheetId="3" r:id="rId3"/>
    <sheet name="Kaizen Listesi" sheetId="10" r:id="rId4"/>
    <sheet name="Hata Kartı " sheetId="11" r:id="rId5"/>
    <sheet name="Aralıklar" sheetId="5" r:id="rId6"/>
    <sheet name="5S" sheetId="9" r:id="rId7"/>
    <sheet name="OEE" sheetId="6" r:id="rId8"/>
    <sheet name="TELEF" sheetId="7" r:id="rId9"/>
    <sheet name="Sonuç" sheetId="2" r:id="rId10"/>
  </sheets>
  <definedNames>
    <definedName name="_xlnm._FilterDatabase" localSheetId="0" hidden="1">'Çalışan Listesi'!$A$1:$G$322</definedName>
    <definedName name="_xlnm._FilterDatabase" localSheetId="9" hidden="1">Sonuç!$A$2:$AG$319</definedName>
  </definedNames>
  <calcPr calcId="191029"/>
</workbook>
</file>

<file path=xl/calcChain.xml><?xml version="1.0" encoding="utf-8"?>
<calcChain xmlns="http://schemas.openxmlformats.org/spreadsheetml/2006/main">
  <c r="H10" i="2" l="1"/>
  <c r="H10" i="7" l="1"/>
  <c r="AG4" i="2" l="1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" i="2"/>
  <c r="H306" i="2" l="1"/>
  <c r="H4" i="2"/>
  <c r="H5" i="2"/>
  <c r="H6" i="2"/>
  <c r="H7" i="2"/>
  <c r="H8" i="2"/>
  <c r="H9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" i="2"/>
  <c r="K14" i="4" l="1"/>
  <c r="AE230" i="2" l="1"/>
  <c r="X230" i="2"/>
  <c r="U230" i="2"/>
  <c r="V230" i="2" s="1"/>
  <c r="S230" i="2"/>
  <c r="T230" i="2" s="1"/>
  <c r="Q230" i="2"/>
  <c r="R230" i="2" s="1"/>
  <c r="O230" i="2"/>
  <c r="M230" i="2"/>
  <c r="K230" i="2"/>
  <c r="L230" i="2" s="1"/>
  <c r="I230" i="2"/>
  <c r="J230" i="2" s="1"/>
  <c r="AE201" i="2"/>
  <c r="U201" i="2"/>
  <c r="V201" i="2" s="1"/>
  <c r="S201" i="2"/>
  <c r="T201" i="2" s="1"/>
  <c r="Q201" i="2"/>
  <c r="R201" i="2" s="1"/>
  <c r="U50" i="2"/>
  <c r="V50" i="2" s="1"/>
  <c r="S50" i="2"/>
  <c r="T50" i="2" s="1"/>
  <c r="Q50" i="2"/>
  <c r="R50" i="2" s="1"/>
  <c r="O201" i="2"/>
  <c r="M201" i="2"/>
  <c r="K201" i="2"/>
  <c r="L201" i="2" s="1"/>
  <c r="I201" i="2"/>
  <c r="J201" i="2" s="1"/>
  <c r="AE50" i="2"/>
  <c r="X50" i="2"/>
  <c r="O50" i="2"/>
  <c r="M50" i="2"/>
  <c r="K50" i="2"/>
  <c r="L50" i="2" s="1"/>
  <c r="I50" i="2"/>
  <c r="J50" i="2" s="1"/>
  <c r="AC230" i="2" l="1"/>
  <c r="AC201" i="2"/>
  <c r="AC50" i="2"/>
  <c r="D230" i="2"/>
  <c r="E230" i="2" s="1"/>
  <c r="P230" i="2" s="1"/>
  <c r="D201" i="2"/>
  <c r="E201" i="2" s="1"/>
  <c r="D50" i="2"/>
  <c r="E50" i="2" s="1"/>
  <c r="W230" i="2" l="1"/>
  <c r="W50" i="2"/>
  <c r="P50" i="2"/>
  <c r="Y50" i="2"/>
  <c r="N230" i="2"/>
  <c r="Y230" i="2"/>
  <c r="N50" i="2"/>
  <c r="H99" i="10"/>
  <c r="H40" i="10"/>
  <c r="H21" i="10"/>
  <c r="H149" i="10"/>
  <c r="H139" i="10"/>
  <c r="H140" i="10"/>
  <c r="H29" i="10"/>
  <c r="H21" i="11" l="1"/>
  <c r="H99" i="11"/>
  <c r="H40" i="11"/>
  <c r="H29" i="11"/>
  <c r="H139" i="11"/>
  <c r="H149" i="11" l="1"/>
  <c r="M4" i="2" l="1"/>
  <c r="M5" i="2"/>
  <c r="M6" i="2"/>
  <c r="M8" i="2"/>
  <c r="M9" i="2"/>
  <c r="M10" i="2"/>
  <c r="M11" i="2"/>
  <c r="M12" i="2"/>
  <c r="M13" i="2"/>
  <c r="M15" i="2"/>
  <c r="M16" i="2"/>
  <c r="M17" i="2"/>
  <c r="M18" i="2"/>
  <c r="M19" i="2"/>
  <c r="M20" i="2"/>
  <c r="M21" i="2"/>
  <c r="M22" i="2"/>
  <c r="M23" i="2"/>
  <c r="M24" i="2"/>
  <c r="M25" i="2"/>
  <c r="M26" i="2"/>
  <c r="M28" i="2"/>
  <c r="M29" i="2"/>
  <c r="M30" i="2"/>
  <c r="M31" i="2"/>
  <c r="M32" i="2"/>
  <c r="M33" i="2"/>
  <c r="M36" i="2"/>
  <c r="M38" i="2"/>
  <c r="M39" i="2"/>
  <c r="M40" i="2"/>
  <c r="M41" i="2"/>
  <c r="M42" i="2"/>
  <c r="M43" i="2"/>
  <c r="M44" i="2"/>
  <c r="M45" i="2"/>
  <c r="M46" i="2"/>
  <c r="M47" i="2"/>
  <c r="M48" i="2"/>
  <c r="M49" i="2"/>
  <c r="M51" i="2"/>
  <c r="M52" i="2"/>
  <c r="M53" i="2"/>
  <c r="M54" i="2"/>
  <c r="M56" i="2"/>
  <c r="M57" i="2"/>
  <c r="M58" i="2"/>
  <c r="M59" i="2"/>
  <c r="M60" i="2"/>
  <c r="M61" i="2"/>
  <c r="M62" i="2"/>
  <c r="M65" i="2"/>
  <c r="M66" i="2"/>
  <c r="M67" i="2"/>
  <c r="M68" i="2"/>
  <c r="M69" i="2"/>
  <c r="M70" i="2"/>
  <c r="M72" i="2"/>
  <c r="M73" i="2"/>
  <c r="M74" i="2"/>
  <c r="M75" i="2"/>
  <c r="M76" i="2"/>
  <c r="M77" i="2"/>
  <c r="M78" i="2"/>
  <c r="M79" i="2"/>
  <c r="M80" i="2"/>
  <c r="M82" i="2"/>
  <c r="M83" i="2"/>
  <c r="M84" i="2"/>
  <c r="M85" i="2"/>
  <c r="M86" i="2"/>
  <c r="M87" i="2"/>
  <c r="M89" i="2"/>
  <c r="M90" i="2"/>
  <c r="M91" i="2"/>
  <c r="M93" i="2"/>
  <c r="M94" i="2"/>
  <c r="M95" i="2"/>
  <c r="M96" i="2"/>
  <c r="M97" i="2"/>
  <c r="M98" i="2"/>
  <c r="M99" i="2"/>
  <c r="M100" i="2"/>
  <c r="M101" i="2"/>
  <c r="M103" i="2"/>
  <c r="M104" i="2"/>
  <c r="M105" i="2"/>
  <c r="M107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9" i="2"/>
  <c r="M140" i="2"/>
  <c r="M141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8" i="2"/>
  <c r="M161" i="2"/>
  <c r="M162" i="2"/>
  <c r="M163" i="2"/>
  <c r="M165" i="2"/>
  <c r="M167" i="2"/>
  <c r="M168" i="2"/>
  <c r="M169" i="2"/>
  <c r="M170" i="2"/>
  <c r="M171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5" i="2"/>
  <c r="M196" i="2"/>
  <c r="M197" i="2"/>
  <c r="M198" i="2"/>
  <c r="M199" i="2"/>
  <c r="M200" i="2"/>
  <c r="M202" i="2"/>
  <c r="M203" i="2"/>
  <c r="M204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1" i="2"/>
  <c r="M222" i="2"/>
  <c r="M223" i="2"/>
  <c r="M225" i="2"/>
  <c r="M226" i="2"/>
  <c r="M227" i="2"/>
  <c r="M228" i="2"/>
  <c r="M231" i="2"/>
  <c r="M232" i="2"/>
  <c r="M233" i="2"/>
  <c r="M234" i="2"/>
  <c r="M235" i="2"/>
  <c r="M236" i="2"/>
  <c r="M237" i="2"/>
  <c r="M238" i="2"/>
  <c r="M239" i="2"/>
  <c r="M241" i="2"/>
  <c r="M242" i="2"/>
  <c r="M243" i="2"/>
  <c r="M244" i="2"/>
  <c r="M245" i="2"/>
  <c r="M246" i="2"/>
  <c r="M247" i="2"/>
  <c r="M248" i="2"/>
  <c r="M249" i="2"/>
  <c r="M251" i="2"/>
  <c r="M253" i="2"/>
  <c r="M254" i="2"/>
  <c r="M255" i="2"/>
  <c r="M256" i="2"/>
  <c r="M257" i="2"/>
  <c r="M258" i="2"/>
  <c r="M259" i="2"/>
  <c r="M260" i="2"/>
  <c r="M261" i="2"/>
  <c r="M262" i="2"/>
  <c r="M263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8" i="2"/>
  <c r="M279" i="2"/>
  <c r="M281" i="2"/>
  <c r="M282" i="2"/>
  <c r="M283" i="2"/>
  <c r="M284" i="2"/>
  <c r="M286" i="2"/>
  <c r="M287" i="2"/>
  <c r="M289" i="2"/>
  <c r="M290" i="2"/>
  <c r="M293" i="2"/>
  <c r="M294" i="2"/>
  <c r="M295" i="2"/>
  <c r="M297" i="2"/>
  <c r="M298" i="2"/>
  <c r="M299" i="2"/>
  <c r="M300" i="2"/>
  <c r="M301" i="2"/>
  <c r="M304" i="2"/>
  <c r="M305" i="2"/>
  <c r="M306" i="2"/>
  <c r="M309" i="2"/>
  <c r="M310" i="2"/>
  <c r="M311" i="2"/>
  <c r="M313" i="2"/>
  <c r="M314" i="2"/>
  <c r="M315" i="2"/>
  <c r="M316" i="2"/>
  <c r="M317" i="2"/>
  <c r="M318" i="2"/>
  <c r="M319" i="2"/>
  <c r="E9" i="9"/>
  <c r="E10" i="9"/>
  <c r="E11" i="9"/>
  <c r="M14" i="2" s="1"/>
  <c r="E12" i="9"/>
  <c r="E13" i="9"/>
  <c r="E14" i="9"/>
  <c r="E15" i="9"/>
  <c r="E16" i="9"/>
  <c r="E17" i="9"/>
  <c r="E18" i="9"/>
  <c r="E19" i="9"/>
  <c r="E8" i="9"/>
  <c r="M280" i="2" l="1"/>
  <c r="M288" i="2"/>
  <c r="M303" i="2"/>
  <c r="M159" i="2"/>
  <c r="M88" i="2"/>
  <c r="M64" i="2"/>
  <c r="M302" i="2"/>
  <c r="M308" i="2"/>
  <c r="M229" i="2"/>
  <c r="M157" i="2"/>
  <c r="M102" i="2"/>
  <c r="M37" i="2"/>
  <c r="M164" i="2"/>
  <c r="M205" i="2"/>
  <c r="M172" i="2"/>
  <c r="M220" i="2"/>
  <c r="M108" i="2"/>
  <c r="M92" i="2"/>
  <c r="M35" i="2"/>
  <c r="M27" i="2"/>
  <c r="M277" i="2"/>
  <c r="M292" i="2"/>
  <c r="M252" i="2"/>
  <c r="M291" i="2"/>
  <c r="M194" i="2"/>
  <c r="M138" i="2"/>
  <c r="M34" i="2"/>
  <c r="M307" i="2"/>
  <c r="M3" i="2"/>
  <c r="M312" i="2"/>
  <c r="M250" i="2"/>
  <c r="M106" i="2"/>
  <c r="M285" i="2"/>
  <c r="M296" i="2"/>
  <c r="M224" i="2"/>
  <c r="M160" i="2"/>
  <c r="M81" i="2"/>
  <c r="M7" i="2"/>
  <c r="M264" i="2"/>
  <c r="M240" i="2"/>
  <c r="M166" i="2"/>
  <c r="M142" i="2"/>
  <c r="M71" i="2"/>
  <c r="M63" i="2"/>
  <c r="M55" i="2"/>
  <c r="K6" i="2" l="1"/>
  <c r="L6" i="2" s="1"/>
  <c r="K23" i="2"/>
  <c r="L23" i="2" s="1"/>
  <c r="K31" i="2"/>
  <c r="L31" i="2" s="1"/>
  <c r="K41" i="2"/>
  <c r="L41" i="2" s="1"/>
  <c r="K51" i="2"/>
  <c r="L51" i="2" s="1"/>
  <c r="K83" i="2"/>
  <c r="L83" i="2" s="1"/>
  <c r="K103" i="2"/>
  <c r="L103" i="2" s="1"/>
  <c r="K143" i="2"/>
  <c r="L143" i="2" s="1"/>
  <c r="K147" i="2"/>
  <c r="L147" i="2" s="1"/>
  <c r="K154" i="2"/>
  <c r="L154" i="2" s="1"/>
  <c r="K188" i="2"/>
  <c r="L188" i="2" s="1"/>
  <c r="K233" i="2"/>
  <c r="L233" i="2" s="1"/>
  <c r="K243" i="2"/>
  <c r="L243" i="2" s="1"/>
  <c r="K306" i="2"/>
  <c r="L306" i="2" s="1"/>
  <c r="H3" i="11"/>
  <c r="K4" i="2" s="1"/>
  <c r="L4" i="2" s="1"/>
  <c r="H4" i="11"/>
  <c r="K5" i="2" s="1"/>
  <c r="L5" i="2" s="1"/>
  <c r="H5" i="11"/>
  <c r="K7" i="2" s="1"/>
  <c r="L7" i="2" s="1"/>
  <c r="H6" i="11"/>
  <c r="K8" i="2" s="1"/>
  <c r="L8" i="2" s="1"/>
  <c r="H7" i="11"/>
  <c r="K9" i="2" s="1"/>
  <c r="L9" i="2" s="1"/>
  <c r="H8" i="11"/>
  <c r="K10" i="2" s="1"/>
  <c r="L10" i="2" s="1"/>
  <c r="H9" i="11"/>
  <c r="K11" i="2" s="1"/>
  <c r="L11" i="2" s="1"/>
  <c r="H10" i="11"/>
  <c r="K12" i="2" s="1"/>
  <c r="L12" i="2" s="1"/>
  <c r="H11" i="11"/>
  <c r="K13" i="2" s="1"/>
  <c r="L13" i="2" s="1"/>
  <c r="H12" i="11"/>
  <c r="K14" i="2" s="1"/>
  <c r="L14" i="2" s="1"/>
  <c r="H13" i="11"/>
  <c r="K15" i="2" s="1"/>
  <c r="L15" i="2" s="1"/>
  <c r="H14" i="11"/>
  <c r="K16" i="2" s="1"/>
  <c r="L16" i="2" s="1"/>
  <c r="H15" i="11"/>
  <c r="K17" i="2" s="1"/>
  <c r="L17" i="2" s="1"/>
  <c r="H16" i="11"/>
  <c r="K18" i="2" s="1"/>
  <c r="L18" i="2" s="1"/>
  <c r="H17" i="11"/>
  <c r="K19" i="2" s="1"/>
  <c r="L19" i="2" s="1"/>
  <c r="H18" i="11"/>
  <c r="K20" i="2" s="1"/>
  <c r="L20" i="2" s="1"/>
  <c r="H19" i="11"/>
  <c r="K21" i="2" s="1"/>
  <c r="L21" i="2" s="1"/>
  <c r="H20" i="11"/>
  <c r="K22" i="2" s="1"/>
  <c r="L22" i="2" s="1"/>
  <c r="H22" i="11"/>
  <c r="K24" i="2" s="1"/>
  <c r="L24" i="2" s="1"/>
  <c r="H23" i="11"/>
  <c r="K25" i="2" s="1"/>
  <c r="L25" i="2" s="1"/>
  <c r="H24" i="11"/>
  <c r="K26" i="2" s="1"/>
  <c r="L26" i="2" s="1"/>
  <c r="H25" i="11"/>
  <c r="K27" i="2" s="1"/>
  <c r="L27" i="2" s="1"/>
  <c r="H26" i="11"/>
  <c r="K28" i="2" s="1"/>
  <c r="L28" i="2" s="1"/>
  <c r="H27" i="11"/>
  <c r="K29" i="2" s="1"/>
  <c r="L29" i="2" s="1"/>
  <c r="H28" i="11"/>
  <c r="K30" i="2" s="1"/>
  <c r="L30" i="2" s="1"/>
  <c r="H30" i="11"/>
  <c r="K32" i="2" s="1"/>
  <c r="L32" i="2" s="1"/>
  <c r="H31" i="11"/>
  <c r="K33" i="2" s="1"/>
  <c r="L33" i="2" s="1"/>
  <c r="H32" i="11"/>
  <c r="K34" i="2" s="1"/>
  <c r="L34" i="2" s="1"/>
  <c r="H33" i="11"/>
  <c r="K35" i="2" s="1"/>
  <c r="L35" i="2" s="1"/>
  <c r="H34" i="11"/>
  <c r="K36" i="2" s="1"/>
  <c r="L36" i="2" s="1"/>
  <c r="H35" i="11"/>
  <c r="H36" i="11"/>
  <c r="K37" i="2" s="1"/>
  <c r="L37" i="2" s="1"/>
  <c r="H37" i="11"/>
  <c r="K38" i="2" s="1"/>
  <c r="L38" i="2" s="1"/>
  <c r="H38" i="11"/>
  <c r="K39" i="2" s="1"/>
  <c r="L39" i="2" s="1"/>
  <c r="H39" i="11"/>
  <c r="K40" i="2" s="1"/>
  <c r="L40" i="2" s="1"/>
  <c r="H41" i="11"/>
  <c r="K42" i="2" s="1"/>
  <c r="L42" i="2" s="1"/>
  <c r="H42" i="11"/>
  <c r="K43" i="2" s="1"/>
  <c r="L43" i="2" s="1"/>
  <c r="H43" i="11"/>
  <c r="K44" i="2" s="1"/>
  <c r="L44" i="2" s="1"/>
  <c r="H44" i="11"/>
  <c r="K45" i="2" s="1"/>
  <c r="L45" i="2" s="1"/>
  <c r="H45" i="11"/>
  <c r="K46" i="2" s="1"/>
  <c r="L46" i="2" s="1"/>
  <c r="H46" i="11"/>
  <c r="K47" i="2" s="1"/>
  <c r="L47" i="2" s="1"/>
  <c r="H47" i="11"/>
  <c r="K48" i="2" s="1"/>
  <c r="L48" i="2" s="1"/>
  <c r="H48" i="11"/>
  <c r="K49" i="2" s="1"/>
  <c r="L49" i="2" s="1"/>
  <c r="H49" i="11"/>
  <c r="K52" i="2" s="1"/>
  <c r="L52" i="2" s="1"/>
  <c r="H50" i="11"/>
  <c r="K53" i="2" s="1"/>
  <c r="L53" i="2" s="1"/>
  <c r="H51" i="11"/>
  <c r="K54" i="2" s="1"/>
  <c r="L54" i="2" s="1"/>
  <c r="H52" i="11"/>
  <c r="K55" i="2" s="1"/>
  <c r="L55" i="2" s="1"/>
  <c r="H53" i="11"/>
  <c r="K56" i="2" s="1"/>
  <c r="L56" i="2" s="1"/>
  <c r="H54" i="11"/>
  <c r="K57" i="2" s="1"/>
  <c r="L57" i="2" s="1"/>
  <c r="H55" i="11"/>
  <c r="K58" i="2" s="1"/>
  <c r="L58" i="2" s="1"/>
  <c r="H56" i="11"/>
  <c r="K59" i="2" s="1"/>
  <c r="L59" i="2" s="1"/>
  <c r="H57" i="11"/>
  <c r="K60" i="2" s="1"/>
  <c r="L60" i="2" s="1"/>
  <c r="H58" i="11"/>
  <c r="K61" i="2" s="1"/>
  <c r="L61" i="2" s="1"/>
  <c r="H59" i="11"/>
  <c r="K62" i="2" s="1"/>
  <c r="L62" i="2" s="1"/>
  <c r="H60" i="11"/>
  <c r="K63" i="2" s="1"/>
  <c r="L63" i="2" s="1"/>
  <c r="H61" i="11"/>
  <c r="K64" i="2" s="1"/>
  <c r="L64" i="2" s="1"/>
  <c r="H62" i="11"/>
  <c r="K65" i="2" s="1"/>
  <c r="L65" i="2" s="1"/>
  <c r="H63" i="11"/>
  <c r="K66" i="2" s="1"/>
  <c r="L66" i="2" s="1"/>
  <c r="H64" i="11"/>
  <c r="K67" i="2" s="1"/>
  <c r="L67" i="2" s="1"/>
  <c r="H65" i="11"/>
  <c r="K68" i="2" s="1"/>
  <c r="L68" i="2" s="1"/>
  <c r="H66" i="11"/>
  <c r="K69" i="2" s="1"/>
  <c r="L69" i="2" s="1"/>
  <c r="H67" i="11"/>
  <c r="K70" i="2" s="1"/>
  <c r="L70" i="2" s="1"/>
  <c r="H68" i="11"/>
  <c r="K71" i="2" s="1"/>
  <c r="L71" i="2" s="1"/>
  <c r="H69" i="11"/>
  <c r="K72" i="2" s="1"/>
  <c r="L72" i="2" s="1"/>
  <c r="H70" i="11"/>
  <c r="K73" i="2" s="1"/>
  <c r="L73" i="2" s="1"/>
  <c r="H71" i="11"/>
  <c r="K74" i="2" s="1"/>
  <c r="L74" i="2" s="1"/>
  <c r="H72" i="11"/>
  <c r="K75" i="2" s="1"/>
  <c r="L75" i="2" s="1"/>
  <c r="H73" i="11"/>
  <c r="K76" i="2" s="1"/>
  <c r="L76" i="2" s="1"/>
  <c r="H74" i="11"/>
  <c r="K77" i="2" s="1"/>
  <c r="L77" i="2" s="1"/>
  <c r="H75" i="11"/>
  <c r="K78" i="2" s="1"/>
  <c r="L78" i="2" s="1"/>
  <c r="H76" i="11"/>
  <c r="K79" i="2" s="1"/>
  <c r="L79" i="2" s="1"/>
  <c r="H77" i="11"/>
  <c r="K80" i="2" s="1"/>
  <c r="L80" i="2" s="1"/>
  <c r="H78" i="11"/>
  <c r="K81" i="2" s="1"/>
  <c r="L81" i="2" s="1"/>
  <c r="H79" i="11"/>
  <c r="K82" i="2" s="1"/>
  <c r="L82" i="2" s="1"/>
  <c r="H80" i="11"/>
  <c r="K84" i="2" s="1"/>
  <c r="L84" i="2" s="1"/>
  <c r="H81" i="11"/>
  <c r="K85" i="2" s="1"/>
  <c r="L85" i="2" s="1"/>
  <c r="H82" i="11"/>
  <c r="K86" i="2" s="1"/>
  <c r="L86" i="2" s="1"/>
  <c r="H83" i="11"/>
  <c r="K87" i="2" s="1"/>
  <c r="L87" i="2" s="1"/>
  <c r="H84" i="11"/>
  <c r="K88" i="2" s="1"/>
  <c r="L88" i="2" s="1"/>
  <c r="H85" i="11"/>
  <c r="K89" i="2" s="1"/>
  <c r="L89" i="2" s="1"/>
  <c r="H86" i="11"/>
  <c r="K90" i="2" s="1"/>
  <c r="L90" i="2" s="1"/>
  <c r="H87" i="11"/>
  <c r="K91" i="2" s="1"/>
  <c r="L91" i="2" s="1"/>
  <c r="H88" i="11"/>
  <c r="K92" i="2" s="1"/>
  <c r="L92" i="2" s="1"/>
  <c r="H89" i="11"/>
  <c r="K93" i="2" s="1"/>
  <c r="L93" i="2" s="1"/>
  <c r="H90" i="11"/>
  <c r="K94" i="2" s="1"/>
  <c r="L94" i="2" s="1"/>
  <c r="H91" i="11"/>
  <c r="K95" i="2" s="1"/>
  <c r="L95" i="2" s="1"/>
  <c r="H92" i="11"/>
  <c r="K96" i="2" s="1"/>
  <c r="L96" i="2" s="1"/>
  <c r="H93" i="11"/>
  <c r="K97" i="2" s="1"/>
  <c r="L97" i="2" s="1"/>
  <c r="H94" i="11"/>
  <c r="K98" i="2" s="1"/>
  <c r="L98" i="2" s="1"/>
  <c r="H95" i="11"/>
  <c r="K99" i="2" s="1"/>
  <c r="L99" i="2" s="1"/>
  <c r="H96" i="11"/>
  <c r="K100" i="2" s="1"/>
  <c r="L100" i="2" s="1"/>
  <c r="H97" i="11"/>
  <c r="K101" i="2" s="1"/>
  <c r="L101" i="2" s="1"/>
  <c r="H98" i="11"/>
  <c r="K102" i="2" s="1"/>
  <c r="L102" i="2" s="1"/>
  <c r="H100" i="11"/>
  <c r="K104" i="2" s="1"/>
  <c r="L104" i="2" s="1"/>
  <c r="H101" i="11"/>
  <c r="K105" i="2" s="1"/>
  <c r="L105" i="2" s="1"/>
  <c r="H102" i="11"/>
  <c r="K106" i="2" s="1"/>
  <c r="L106" i="2" s="1"/>
  <c r="H103" i="11"/>
  <c r="K107" i="2" s="1"/>
  <c r="L107" i="2" s="1"/>
  <c r="H104" i="11"/>
  <c r="K108" i="2" s="1"/>
  <c r="L108" i="2" s="1"/>
  <c r="H105" i="11"/>
  <c r="K109" i="2" s="1"/>
  <c r="L109" i="2" s="1"/>
  <c r="H106" i="11"/>
  <c r="K110" i="2" s="1"/>
  <c r="L110" i="2" s="1"/>
  <c r="H107" i="11"/>
  <c r="K111" i="2" s="1"/>
  <c r="L111" i="2" s="1"/>
  <c r="H108" i="11"/>
  <c r="K112" i="2" s="1"/>
  <c r="L112" i="2" s="1"/>
  <c r="H109" i="11"/>
  <c r="K113" i="2" s="1"/>
  <c r="L113" i="2" s="1"/>
  <c r="H110" i="11"/>
  <c r="K114" i="2" s="1"/>
  <c r="L114" i="2" s="1"/>
  <c r="H111" i="11"/>
  <c r="K115" i="2" s="1"/>
  <c r="L115" i="2" s="1"/>
  <c r="H112" i="11"/>
  <c r="K116" i="2" s="1"/>
  <c r="L116" i="2" s="1"/>
  <c r="H113" i="11"/>
  <c r="K117" i="2" s="1"/>
  <c r="L117" i="2" s="1"/>
  <c r="H114" i="11"/>
  <c r="K118" i="2" s="1"/>
  <c r="L118" i="2" s="1"/>
  <c r="H115" i="11"/>
  <c r="K119" i="2" s="1"/>
  <c r="L119" i="2" s="1"/>
  <c r="H116" i="11"/>
  <c r="K120" i="2" s="1"/>
  <c r="L120" i="2" s="1"/>
  <c r="H117" i="11"/>
  <c r="K121" i="2" s="1"/>
  <c r="L121" i="2" s="1"/>
  <c r="H118" i="11"/>
  <c r="K122" i="2" s="1"/>
  <c r="L122" i="2" s="1"/>
  <c r="H119" i="11"/>
  <c r="K123" i="2" s="1"/>
  <c r="L123" i="2" s="1"/>
  <c r="H120" i="11"/>
  <c r="K124" i="2" s="1"/>
  <c r="L124" i="2" s="1"/>
  <c r="H121" i="11"/>
  <c r="K125" i="2" s="1"/>
  <c r="L125" i="2" s="1"/>
  <c r="H122" i="11"/>
  <c r="K126" i="2" s="1"/>
  <c r="L126" i="2" s="1"/>
  <c r="H123" i="11"/>
  <c r="K127" i="2" s="1"/>
  <c r="L127" i="2" s="1"/>
  <c r="H124" i="11"/>
  <c r="K128" i="2" s="1"/>
  <c r="L128" i="2" s="1"/>
  <c r="H125" i="11"/>
  <c r="K129" i="2" s="1"/>
  <c r="L129" i="2" s="1"/>
  <c r="H126" i="11"/>
  <c r="K130" i="2" s="1"/>
  <c r="L130" i="2" s="1"/>
  <c r="H127" i="11"/>
  <c r="K131" i="2" s="1"/>
  <c r="L131" i="2" s="1"/>
  <c r="H128" i="11"/>
  <c r="K132" i="2" s="1"/>
  <c r="L132" i="2" s="1"/>
  <c r="H129" i="11"/>
  <c r="K133" i="2" s="1"/>
  <c r="L133" i="2" s="1"/>
  <c r="H130" i="11"/>
  <c r="K134" i="2" s="1"/>
  <c r="L134" i="2" s="1"/>
  <c r="H131" i="11"/>
  <c r="K135" i="2" s="1"/>
  <c r="L135" i="2" s="1"/>
  <c r="H132" i="11"/>
  <c r="K136" i="2" s="1"/>
  <c r="L136" i="2" s="1"/>
  <c r="H133" i="11"/>
  <c r="K137" i="2" s="1"/>
  <c r="L137" i="2" s="1"/>
  <c r="H134" i="11"/>
  <c r="K138" i="2" s="1"/>
  <c r="L138" i="2" s="1"/>
  <c r="H135" i="11"/>
  <c r="K139" i="2" s="1"/>
  <c r="L139" i="2" s="1"/>
  <c r="H136" i="11"/>
  <c r="K140" i="2" s="1"/>
  <c r="L140" i="2" s="1"/>
  <c r="H137" i="11"/>
  <c r="K141" i="2" s="1"/>
  <c r="L141" i="2" s="1"/>
  <c r="H138" i="11"/>
  <c r="K142" i="2" s="1"/>
  <c r="L142" i="2" s="1"/>
  <c r="H140" i="11"/>
  <c r="K144" i="2" s="1"/>
  <c r="L144" i="2" s="1"/>
  <c r="H141" i="11"/>
  <c r="K145" i="2" s="1"/>
  <c r="L145" i="2" s="1"/>
  <c r="H142" i="11"/>
  <c r="K146" i="2" s="1"/>
  <c r="L146" i="2" s="1"/>
  <c r="H143" i="11"/>
  <c r="K148" i="2" s="1"/>
  <c r="L148" i="2" s="1"/>
  <c r="H144" i="11"/>
  <c r="K149" i="2" s="1"/>
  <c r="L149" i="2" s="1"/>
  <c r="H145" i="11"/>
  <c r="K150" i="2" s="1"/>
  <c r="L150" i="2" s="1"/>
  <c r="H146" i="11"/>
  <c r="K151" i="2" s="1"/>
  <c r="L151" i="2" s="1"/>
  <c r="H147" i="11"/>
  <c r="K152" i="2" s="1"/>
  <c r="L152" i="2" s="1"/>
  <c r="H148" i="11"/>
  <c r="K153" i="2" s="1"/>
  <c r="L153" i="2" s="1"/>
  <c r="H150" i="11"/>
  <c r="K155" i="2" s="1"/>
  <c r="L155" i="2" s="1"/>
  <c r="H151" i="11"/>
  <c r="K156" i="2" s="1"/>
  <c r="L156" i="2" s="1"/>
  <c r="H152" i="11"/>
  <c r="K157" i="2" s="1"/>
  <c r="L157" i="2" s="1"/>
  <c r="H153" i="11"/>
  <c r="K158" i="2" s="1"/>
  <c r="L158" i="2" s="1"/>
  <c r="H154" i="11"/>
  <c r="K159" i="2" s="1"/>
  <c r="L159" i="2" s="1"/>
  <c r="H155" i="11"/>
  <c r="K160" i="2" s="1"/>
  <c r="L160" i="2" s="1"/>
  <c r="H156" i="11"/>
  <c r="K161" i="2" s="1"/>
  <c r="L161" i="2" s="1"/>
  <c r="H157" i="11"/>
  <c r="K162" i="2" s="1"/>
  <c r="L162" i="2" s="1"/>
  <c r="H158" i="11"/>
  <c r="K163" i="2" s="1"/>
  <c r="L163" i="2" s="1"/>
  <c r="H159" i="11"/>
  <c r="K164" i="2" s="1"/>
  <c r="L164" i="2" s="1"/>
  <c r="H160" i="11"/>
  <c r="K165" i="2" s="1"/>
  <c r="L165" i="2" s="1"/>
  <c r="H161" i="11"/>
  <c r="K166" i="2" s="1"/>
  <c r="L166" i="2" s="1"/>
  <c r="H162" i="11"/>
  <c r="K167" i="2" s="1"/>
  <c r="L167" i="2" s="1"/>
  <c r="H163" i="11"/>
  <c r="K168" i="2" s="1"/>
  <c r="L168" i="2" s="1"/>
  <c r="H164" i="11"/>
  <c r="K169" i="2" s="1"/>
  <c r="L169" i="2" s="1"/>
  <c r="H165" i="11"/>
  <c r="K170" i="2" s="1"/>
  <c r="L170" i="2" s="1"/>
  <c r="H166" i="11"/>
  <c r="K171" i="2" s="1"/>
  <c r="L171" i="2" s="1"/>
  <c r="H167" i="11"/>
  <c r="K172" i="2" s="1"/>
  <c r="L172" i="2" s="1"/>
  <c r="H168" i="11"/>
  <c r="K173" i="2" s="1"/>
  <c r="L173" i="2" s="1"/>
  <c r="H169" i="11"/>
  <c r="K174" i="2" s="1"/>
  <c r="L174" i="2" s="1"/>
  <c r="H170" i="11"/>
  <c r="K175" i="2" s="1"/>
  <c r="L175" i="2" s="1"/>
  <c r="H171" i="11"/>
  <c r="K176" i="2" s="1"/>
  <c r="L176" i="2" s="1"/>
  <c r="H172" i="11"/>
  <c r="K177" i="2" s="1"/>
  <c r="L177" i="2" s="1"/>
  <c r="H173" i="11"/>
  <c r="K178" i="2" s="1"/>
  <c r="L178" i="2" s="1"/>
  <c r="H174" i="11"/>
  <c r="K179" i="2" s="1"/>
  <c r="L179" i="2" s="1"/>
  <c r="H175" i="11"/>
  <c r="K180" i="2" s="1"/>
  <c r="L180" i="2" s="1"/>
  <c r="H176" i="11"/>
  <c r="K181" i="2" s="1"/>
  <c r="L181" i="2" s="1"/>
  <c r="H177" i="11"/>
  <c r="K182" i="2" s="1"/>
  <c r="L182" i="2" s="1"/>
  <c r="H178" i="11"/>
  <c r="K183" i="2" s="1"/>
  <c r="L183" i="2" s="1"/>
  <c r="H179" i="11"/>
  <c r="K184" i="2" s="1"/>
  <c r="L184" i="2" s="1"/>
  <c r="H180" i="11"/>
  <c r="K185" i="2" s="1"/>
  <c r="L185" i="2" s="1"/>
  <c r="H181" i="11"/>
  <c r="K186" i="2" s="1"/>
  <c r="L186" i="2" s="1"/>
  <c r="H182" i="11"/>
  <c r="K187" i="2" s="1"/>
  <c r="L187" i="2" s="1"/>
  <c r="H183" i="11"/>
  <c r="K189" i="2" s="1"/>
  <c r="L189" i="2" s="1"/>
  <c r="H184" i="11"/>
  <c r="K190" i="2" s="1"/>
  <c r="L190" i="2" s="1"/>
  <c r="H185" i="11"/>
  <c r="K191" i="2" s="1"/>
  <c r="L191" i="2" s="1"/>
  <c r="H186" i="11"/>
  <c r="K192" i="2" s="1"/>
  <c r="L192" i="2" s="1"/>
  <c r="H187" i="11"/>
  <c r="K193" i="2" s="1"/>
  <c r="L193" i="2" s="1"/>
  <c r="H188" i="11"/>
  <c r="K194" i="2" s="1"/>
  <c r="L194" i="2" s="1"/>
  <c r="H189" i="11"/>
  <c r="K195" i="2" s="1"/>
  <c r="L195" i="2" s="1"/>
  <c r="H190" i="11"/>
  <c r="K196" i="2" s="1"/>
  <c r="L196" i="2" s="1"/>
  <c r="H191" i="11"/>
  <c r="K197" i="2" s="1"/>
  <c r="L197" i="2" s="1"/>
  <c r="H192" i="11"/>
  <c r="K198" i="2" s="1"/>
  <c r="L198" i="2" s="1"/>
  <c r="H193" i="11"/>
  <c r="K199" i="2" s="1"/>
  <c r="L199" i="2" s="1"/>
  <c r="H194" i="11"/>
  <c r="K200" i="2" s="1"/>
  <c r="L200" i="2" s="1"/>
  <c r="H195" i="11"/>
  <c r="K202" i="2" s="1"/>
  <c r="L202" i="2" s="1"/>
  <c r="H196" i="11"/>
  <c r="K203" i="2" s="1"/>
  <c r="L203" i="2" s="1"/>
  <c r="H197" i="11"/>
  <c r="K204" i="2" s="1"/>
  <c r="L204" i="2" s="1"/>
  <c r="H198" i="11"/>
  <c r="K205" i="2" s="1"/>
  <c r="L205" i="2" s="1"/>
  <c r="H199" i="11"/>
  <c r="K206" i="2" s="1"/>
  <c r="L206" i="2" s="1"/>
  <c r="H200" i="11"/>
  <c r="K207" i="2" s="1"/>
  <c r="L207" i="2" s="1"/>
  <c r="H201" i="11"/>
  <c r="H202" i="11"/>
  <c r="K208" i="2" s="1"/>
  <c r="L208" i="2" s="1"/>
  <c r="H203" i="11"/>
  <c r="K209" i="2" s="1"/>
  <c r="L209" i="2" s="1"/>
  <c r="H204" i="11"/>
  <c r="K210" i="2" s="1"/>
  <c r="L210" i="2" s="1"/>
  <c r="H205" i="11"/>
  <c r="K211" i="2" s="1"/>
  <c r="L211" i="2" s="1"/>
  <c r="H206" i="11"/>
  <c r="K212" i="2" s="1"/>
  <c r="L212" i="2" s="1"/>
  <c r="H207" i="11"/>
  <c r="K213" i="2" s="1"/>
  <c r="L213" i="2" s="1"/>
  <c r="H208" i="11"/>
  <c r="K214" i="2" s="1"/>
  <c r="L214" i="2" s="1"/>
  <c r="H209" i="11"/>
  <c r="K215" i="2" s="1"/>
  <c r="L215" i="2" s="1"/>
  <c r="H210" i="11"/>
  <c r="K216" i="2" s="1"/>
  <c r="L216" i="2" s="1"/>
  <c r="H211" i="11"/>
  <c r="K217" i="2" s="1"/>
  <c r="L217" i="2" s="1"/>
  <c r="H212" i="11"/>
  <c r="K218" i="2" s="1"/>
  <c r="L218" i="2" s="1"/>
  <c r="H213" i="11"/>
  <c r="K219" i="2" s="1"/>
  <c r="L219" i="2" s="1"/>
  <c r="H214" i="11"/>
  <c r="K220" i="2" s="1"/>
  <c r="L220" i="2" s="1"/>
  <c r="H215" i="11"/>
  <c r="K221" i="2" s="1"/>
  <c r="L221" i="2" s="1"/>
  <c r="H216" i="11"/>
  <c r="H217" i="11"/>
  <c r="K222" i="2" s="1"/>
  <c r="L222" i="2" s="1"/>
  <c r="H218" i="11"/>
  <c r="K223" i="2" s="1"/>
  <c r="L223" i="2" s="1"/>
  <c r="H219" i="11"/>
  <c r="K224" i="2" s="1"/>
  <c r="L224" i="2" s="1"/>
  <c r="H220" i="11"/>
  <c r="K225" i="2" s="1"/>
  <c r="L225" i="2" s="1"/>
  <c r="H221" i="11"/>
  <c r="K226" i="2" s="1"/>
  <c r="L226" i="2" s="1"/>
  <c r="H222" i="11"/>
  <c r="K227" i="2" s="1"/>
  <c r="L227" i="2" s="1"/>
  <c r="H223" i="11"/>
  <c r="K228" i="2" s="1"/>
  <c r="L228" i="2" s="1"/>
  <c r="H224" i="11"/>
  <c r="K229" i="2" s="1"/>
  <c r="L229" i="2" s="1"/>
  <c r="H225" i="11"/>
  <c r="K231" i="2" s="1"/>
  <c r="L231" i="2" s="1"/>
  <c r="H226" i="11"/>
  <c r="K232" i="2" s="1"/>
  <c r="L232" i="2" s="1"/>
  <c r="H227" i="11"/>
  <c r="K234" i="2" s="1"/>
  <c r="L234" i="2" s="1"/>
  <c r="H228" i="11"/>
  <c r="K235" i="2" s="1"/>
  <c r="L235" i="2" s="1"/>
  <c r="H229" i="11"/>
  <c r="K236" i="2" s="1"/>
  <c r="L236" i="2" s="1"/>
  <c r="H230" i="11"/>
  <c r="K237" i="2" s="1"/>
  <c r="L237" i="2" s="1"/>
  <c r="H231" i="11"/>
  <c r="K238" i="2" s="1"/>
  <c r="L238" i="2" s="1"/>
  <c r="H232" i="11"/>
  <c r="K239" i="2" s="1"/>
  <c r="L239" i="2" s="1"/>
  <c r="H233" i="11"/>
  <c r="K240" i="2" s="1"/>
  <c r="L240" i="2" s="1"/>
  <c r="H234" i="11"/>
  <c r="K241" i="2" s="1"/>
  <c r="L241" i="2" s="1"/>
  <c r="H235" i="11"/>
  <c r="K242" i="2" s="1"/>
  <c r="L242" i="2" s="1"/>
  <c r="H236" i="11"/>
  <c r="K244" i="2" s="1"/>
  <c r="L244" i="2" s="1"/>
  <c r="H237" i="11"/>
  <c r="K245" i="2" s="1"/>
  <c r="L245" i="2" s="1"/>
  <c r="H238" i="11"/>
  <c r="K246" i="2" s="1"/>
  <c r="L246" i="2" s="1"/>
  <c r="H239" i="11"/>
  <c r="K247" i="2" s="1"/>
  <c r="L247" i="2" s="1"/>
  <c r="H240" i="11"/>
  <c r="K248" i="2" s="1"/>
  <c r="L248" i="2" s="1"/>
  <c r="H241" i="11"/>
  <c r="K249" i="2" s="1"/>
  <c r="L249" i="2" s="1"/>
  <c r="H242" i="11"/>
  <c r="K250" i="2" s="1"/>
  <c r="L250" i="2" s="1"/>
  <c r="H243" i="11"/>
  <c r="K251" i="2" s="1"/>
  <c r="L251" i="2" s="1"/>
  <c r="H244" i="11"/>
  <c r="K252" i="2" s="1"/>
  <c r="L252" i="2" s="1"/>
  <c r="H245" i="11"/>
  <c r="K253" i="2" s="1"/>
  <c r="L253" i="2" s="1"/>
  <c r="H246" i="11"/>
  <c r="K254" i="2" s="1"/>
  <c r="L254" i="2" s="1"/>
  <c r="H247" i="11"/>
  <c r="K255" i="2" s="1"/>
  <c r="L255" i="2" s="1"/>
  <c r="H248" i="11"/>
  <c r="K256" i="2" s="1"/>
  <c r="L256" i="2" s="1"/>
  <c r="H249" i="11"/>
  <c r="K257" i="2" s="1"/>
  <c r="L257" i="2" s="1"/>
  <c r="H250" i="11"/>
  <c r="K258" i="2" s="1"/>
  <c r="L258" i="2" s="1"/>
  <c r="H251" i="11"/>
  <c r="H252" i="11"/>
  <c r="K259" i="2" s="1"/>
  <c r="L259" i="2" s="1"/>
  <c r="H253" i="11"/>
  <c r="K260" i="2" s="1"/>
  <c r="L260" i="2" s="1"/>
  <c r="H254" i="11"/>
  <c r="K261" i="2" s="1"/>
  <c r="L261" i="2" s="1"/>
  <c r="H255" i="11"/>
  <c r="K262" i="2" s="1"/>
  <c r="L262" i="2" s="1"/>
  <c r="H256" i="11"/>
  <c r="K263" i="2" s="1"/>
  <c r="L263" i="2" s="1"/>
  <c r="H257" i="11"/>
  <c r="K264" i="2" s="1"/>
  <c r="L264" i="2" s="1"/>
  <c r="H258" i="11"/>
  <c r="K265" i="2" s="1"/>
  <c r="L265" i="2" s="1"/>
  <c r="H259" i="11"/>
  <c r="H260" i="11"/>
  <c r="H261" i="11"/>
  <c r="K266" i="2" s="1"/>
  <c r="L266" i="2" s="1"/>
  <c r="H262" i="11"/>
  <c r="K267" i="2" s="1"/>
  <c r="L267" i="2" s="1"/>
  <c r="H263" i="11"/>
  <c r="K268" i="2" s="1"/>
  <c r="L268" i="2" s="1"/>
  <c r="H264" i="11"/>
  <c r="K269" i="2" s="1"/>
  <c r="L269" i="2" s="1"/>
  <c r="H265" i="11"/>
  <c r="K270" i="2" s="1"/>
  <c r="L270" i="2" s="1"/>
  <c r="H266" i="11"/>
  <c r="K271" i="2" s="1"/>
  <c r="L271" i="2" s="1"/>
  <c r="H267" i="11"/>
  <c r="K272" i="2" s="1"/>
  <c r="L272" i="2" s="1"/>
  <c r="H268" i="11"/>
  <c r="K273" i="2" s="1"/>
  <c r="L273" i="2" s="1"/>
  <c r="H269" i="11"/>
  <c r="H270" i="11"/>
  <c r="K274" i="2" s="1"/>
  <c r="L274" i="2" s="1"/>
  <c r="H271" i="11"/>
  <c r="K275" i="2" s="1"/>
  <c r="L275" i="2" s="1"/>
  <c r="H272" i="11"/>
  <c r="K276" i="2" s="1"/>
  <c r="L276" i="2" s="1"/>
  <c r="H273" i="11"/>
  <c r="K277" i="2" s="1"/>
  <c r="L277" i="2" s="1"/>
  <c r="H274" i="11"/>
  <c r="K278" i="2" s="1"/>
  <c r="L278" i="2" s="1"/>
  <c r="H275" i="11"/>
  <c r="K279" i="2" s="1"/>
  <c r="L279" i="2" s="1"/>
  <c r="H276" i="11"/>
  <c r="K280" i="2" s="1"/>
  <c r="L280" i="2" s="1"/>
  <c r="H277" i="11"/>
  <c r="K281" i="2" s="1"/>
  <c r="L281" i="2" s="1"/>
  <c r="H278" i="11"/>
  <c r="K282" i="2" s="1"/>
  <c r="L282" i="2" s="1"/>
  <c r="H279" i="11"/>
  <c r="H280" i="11"/>
  <c r="K283" i="2" s="1"/>
  <c r="L283" i="2" s="1"/>
  <c r="H281" i="11"/>
  <c r="K284" i="2" s="1"/>
  <c r="L284" i="2" s="1"/>
  <c r="H282" i="11"/>
  <c r="K285" i="2" s="1"/>
  <c r="L285" i="2" s="1"/>
  <c r="H283" i="11"/>
  <c r="K286" i="2" s="1"/>
  <c r="L286" i="2" s="1"/>
  <c r="H284" i="11"/>
  <c r="K287" i="2" s="1"/>
  <c r="L287" i="2" s="1"/>
  <c r="H285" i="11"/>
  <c r="K288" i="2" s="1"/>
  <c r="L288" i="2" s="1"/>
  <c r="H286" i="11"/>
  <c r="K289" i="2" s="1"/>
  <c r="L289" i="2" s="1"/>
  <c r="H287" i="11"/>
  <c r="H288" i="11"/>
  <c r="K290" i="2" s="1"/>
  <c r="L290" i="2" s="1"/>
  <c r="H289" i="11"/>
  <c r="K291" i="2" s="1"/>
  <c r="L291" i="2" s="1"/>
  <c r="H290" i="11"/>
  <c r="K292" i="2" s="1"/>
  <c r="L292" i="2" s="1"/>
  <c r="H291" i="11"/>
  <c r="K293" i="2" s="1"/>
  <c r="L293" i="2" s="1"/>
  <c r="H292" i="11"/>
  <c r="K294" i="2" s="1"/>
  <c r="L294" i="2" s="1"/>
  <c r="H293" i="11"/>
  <c r="K295" i="2" s="1"/>
  <c r="L295" i="2" s="1"/>
  <c r="H294" i="11"/>
  <c r="H295" i="11"/>
  <c r="K296" i="2" s="1"/>
  <c r="L296" i="2" s="1"/>
  <c r="H296" i="11"/>
  <c r="H297" i="11"/>
  <c r="K297" i="2" s="1"/>
  <c r="L297" i="2" s="1"/>
  <c r="H298" i="11"/>
  <c r="K298" i="2" s="1"/>
  <c r="L298" i="2" s="1"/>
  <c r="H299" i="11"/>
  <c r="K299" i="2" s="1"/>
  <c r="L299" i="2" s="1"/>
  <c r="H300" i="11"/>
  <c r="K300" i="2" s="1"/>
  <c r="L300" i="2" s="1"/>
  <c r="H301" i="11"/>
  <c r="K301" i="2" s="1"/>
  <c r="L301" i="2" s="1"/>
  <c r="H302" i="11"/>
  <c r="K302" i="2" s="1"/>
  <c r="L302" i="2" s="1"/>
  <c r="H303" i="11"/>
  <c r="K303" i="2" s="1"/>
  <c r="L303" i="2" s="1"/>
  <c r="H304" i="11"/>
  <c r="K304" i="2" s="1"/>
  <c r="L304" i="2" s="1"/>
  <c r="H305" i="11"/>
  <c r="H306" i="11"/>
  <c r="K305" i="2" s="1"/>
  <c r="L305" i="2" s="1"/>
  <c r="H307" i="11"/>
  <c r="K307" i="2" s="1"/>
  <c r="L307" i="2" s="1"/>
  <c r="H308" i="11"/>
  <c r="K308" i="2" s="1"/>
  <c r="L308" i="2" s="1"/>
  <c r="H309" i="11"/>
  <c r="K309" i="2" s="1"/>
  <c r="L309" i="2" s="1"/>
  <c r="H310" i="11"/>
  <c r="K310" i="2" s="1"/>
  <c r="L310" i="2" s="1"/>
  <c r="H311" i="11"/>
  <c r="K311" i="2" s="1"/>
  <c r="L311" i="2" s="1"/>
  <c r="H312" i="11"/>
  <c r="K312" i="2" s="1"/>
  <c r="L312" i="2" s="1"/>
  <c r="H313" i="11"/>
  <c r="K313" i="2" s="1"/>
  <c r="L313" i="2" s="1"/>
  <c r="H314" i="11"/>
  <c r="K314" i="2" s="1"/>
  <c r="L314" i="2" s="1"/>
  <c r="H315" i="11"/>
  <c r="K315" i="2" s="1"/>
  <c r="L315" i="2" s="1"/>
  <c r="H316" i="11"/>
  <c r="K316" i="2" s="1"/>
  <c r="L316" i="2" s="1"/>
  <c r="H317" i="11"/>
  <c r="K317" i="2" s="1"/>
  <c r="L317" i="2" s="1"/>
  <c r="H318" i="11"/>
  <c r="K318" i="2" s="1"/>
  <c r="L318" i="2" s="1"/>
  <c r="H319" i="11"/>
  <c r="K319" i="2" s="1"/>
  <c r="L319" i="2" s="1"/>
  <c r="H2" i="11"/>
  <c r="K3" i="2" s="1"/>
  <c r="L3" i="2" s="1"/>
  <c r="I6" i="2" l="1"/>
  <c r="J6" i="2" s="1"/>
  <c r="I51" i="2"/>
  <c r="J51" i="2" s="1"/>
  <c r="I83" i="2"/>
  <c r="J83" i="2" s="1"/>
  <c r="I144" i="2"/>
  <c r="J144" i="2" s="1"/>
  <c r="I147" i="2"/>
  <c r="J147" i="2" s="1"/>
  <c r="I188" i="2"/>
  <c r="J188" i="2" s="1"/>
  <c r="I233" i="2"/>
  <c r="J233" i="2" s="1"/>
  <c r="I243" i="2"/>
  <c r="J24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H303" i="10"/>
  <c r="H302" i="10"/>
  <c r="I303" i="2" s="1"/>
  <c r="J303" i="2" s="1"/>
  <c r="H301" i="10"/>
  <c r="I302" i="2" s="1"/>
  <c r="J302" i="2" s="1"/>
  <c r="H300" i="10"/>
  <c r="I301" i="2" s="1"/>
  <c r="J301" i="2" s="1"/>
  <c r="H299" i="10"/>
  <c r="I300" i="2" s="1"/>
  <c r="J300" i="2" s="1"/>
  <c r="H298" i="10"/>
  <c r="H297" i="10"/>
  <c r="I298" i="2" s="1"/>
  <c r="J298" i="2" s="1"/>
  <c r="H296" i="10"/>
  <c r="H295" i="10"/>
  <c r="H294" i="10"/>
  <c r="I296" i="2" s="1"/>
  <c r="J296" i="2" s="1"/>
  <c r="H293" i="10"/>
  <c r="H292" i="10"/>
  <c r="I295" i="2" s="1"/>
  <c r="J295" i="2" s="1"/>
  <c r="H291" i="10"/>
  <c r="I294" i="2" s="1"/>
  <c r="J294" i="2" s="1"/>
  <c r="H290" i="10"/>
  <c r="H289" i="10"/>
  <c r="H288" i="10"/>
  <c r="H287" i="10"/>
  <c r="H286" i="10"/>
  <c r="H285" i="10"/>
  <c r="I289" i="2" s="1"/>
  <c r="J289" i="2" s="1"/>
  <c r="H284" i="10"/>
  <c r="I288" i="2" s="1"/>
  <c r="J288" i="2" s="1"/>
  <c r="H283" i="10"/>
  <c r="I287" i="2" s="1"/>
  <c r="J287" i="2" s="1"/>
  <c r="H282" i="10"/>
  <c r="H281" i="10"/>
  <c r="I285" i="2" s="1"/>
  <c r="J285" i="2" s="1"/>
  <c r="H280" i="10"/>
  <c r="H279" i="10"/>
  <c r="H278" i="10"/>
  <c r="H277" i="10"/>
  <c r="I282" i="2" s="1"/>
  <c r="J282" i="2" s="1"/>
  <c r="H276" i="10"/>
  <c r="I281" i="2" s="1"/>
  <c r="J281" i="2" s="1"/>
  <c r="H275" i="10"/>
  <c r="I280" i="2" s="1"/>
  <c r="J280" i="2" s="1"/>
  <c r="H274" i="10"/>
  <c r="H273" i="10"/>
  <c r="I278" i="2" s="1"/>
  <c r="J278" i="2" s="1"/>
  <c r="H272" i="10"/>
  <c r="H271" i="10"/>
  <c r="H270" i="10"/>
  <c r="I275" i="2" s="1"/>
  <c r="J275" i="2" s="1"/>
  <c r="H269" i="10"/>
  <c r="I274" i="2" s="1"/>
  <c r="J274" i="2" s="1"/>
  <c r="H268" i="10"/>
  <c r="H267" i="10"/>
  <c r="I273" i="2" s="1"/>
  <c r="J273" i="2" s="1"/>
  <c r="H266" i="10"/>
  <c r="H265" i="10"/>
  <c r="I271" i="2" s="1"/>
  <c r="J271" i="2" s="1"/>
  <c r="H264" i="10"/>
  <c r="H263" i="10"/>
  <c r="H262" i="10"/>
  <c r="I268" i="2" s="1"/>
  <c r="J268" i="2" s="1"/>
  <c r="H261" i="10"/>
  <c r="I267" i="2" s="1"/>
  <c r="J267" i="2" s="1"/>
  <c r="H260" i="10"/>
  <c r="H259" i="10"/>
  <c r="H258" i="10"/>
  <c r="H257" i="10"/>
  <c r="I265" i="2" s="1"/>
  <c r="J265" i="2" s="1"/>
  <c r="H256" i="10"/>
  <c r="H255" i="10"/>
  <c r="H254" i="10"/>
  <c r="I262" i="2" s="1"/>
  <c r="J262" i="2" s="1"/>
  <c r="H253" i="10"/>
  <c r="I261" i="2" s="1"/>
  <c r="J261" i="2" s="1"/>
  <c r="H252" i="10"/>
  <c r="H251" i="10"/>
  <c r="I259" i="2" s="1"/>
  <c r="J259" i="2" s="1"/>
  <c r="H250" i="10"/>
  <c r="H249" i="10"/>
  <c r="I258" i="2" s="1"/>
  <c r="J258" i="2" s="1"/>
  <c r="H248" i="10"/>
  <c r="H247" i="10"/>
  <c r="H246" i="10"/>
  <c r="I255" i="2" s="1"/>
  <c r="J255" i="2" s="1"/>
  <c r="H245" i="10"/>
  <c r="I254" i="2" s="1"/>
  <c r="J254" i="2" s="1"/>
  <c r="H244" i="10"/>
  <c r="H243" i="10"/>
  <c r="H242" i="10"/>
  <c r="H241" i="10"/>
  <c r="I250" i="2" s="1"/>
  <c r="J250" i="2" s="1"/>
  <c r="H240" i="10"/>
  <c r="H239" i="10"/>
  <c r="H238" i="10"/>
  <c r="I247" i="2" s="1"/>
  <c r="J247" i="2" s="1"/>
  <c r="H237" i="10"/>
  <c r="I246" i="2" s="1"/>
  <c r="J246" i="2" s="1"/>
  <c r="H236" i="10"/>
  <c r="H235" i="10"/>
  <c r="H234" i="10"/>
  <c r="H233" i="10"/>
  <c r="I241" i="2" s="1"/>
  <c r="J241" i="2" s="1"/>
  <c r="H232" i="10"/>
  <c r="H231" i="10"/>
  <c r="H230" i="10"/>
  <c r="I238" i="2" s="1"/>
  <c r="J238" i="2" s="1"/>
  <c r="H229" i="10"/>
  <c r="I237" i="2" s="1"/>
  <c r="J237" i="2" s="1"/>
  <c r="H228" i="10"/>
  <c r="H227" i="10"/>
  <c r="I235" i="2" s="1"/>
  <c r="J235" i="2" s="1"/>
  <c r="H226" i="10"/>
  <c r="H225" i="10"/>
  <c r="I232" i="2" s="1"/>
  <c r="J232" i="2" s="1"/>
  <c r="H224" i="10"/>
  <c r="H223" i="10"/>
  <c r="H222" i="10"/>
  <c r="I228" i="2" s="1"/>
  <c r="J228" i="2" s="1"/>
  <c r="H221" i="10"/>
  <c r="H220" i="10"/>
  <c r="H219" i="10"/>
  <c r="I225" i="2" s="1"/>
  <c r="J225" i="2" s="1"/>
  <c r="H218" i="10"/>
  <c r="H217" i="10"/>
  <c r="I223" i="2" s="1"/>
  <c r="J223" i="2" s="1"/>
  <c r="H216" i="10"/>
  <c r="H215" i="10"/>
  <c r="H214" i="10"/>
  <c r="I221" i="2" s="1"/>
  <c r="J221" i="2" s="1"/>
  <c r="H213" i="10"/>
  <c r="H212" i="10"/>
  <c r="H211" i="10"/>
  <c r="I218" i="2" s="1"/>
  <c r="J218" i="2" s="1"/>
  <c r="H210" i="10"/>
  <c r="H209" i="10"/>
  <c r="I216" i="2" s="1"/>
  <c r="J216" i="2" s="1"/>
  <c r="H208" i="10"/>
  <c r="H207" i="10"/>
  <c r="H206" i="10"/>
  <c r="I213" i="2" s="1"/>
  <c r="J213" i="2" s="1"/>
  <c r="H205" i="10"/>
  <c r="H204" i="10"/>
  <c r="H203" i="10"/>
  <c r="I210" i="2" s="1"/>
  <c r="J210" i="2" s="1"/>
  <c r="H202" i="10"/>
  <c r="H201" i="10"/>
  <c r="I208" i="2" s="1"/>
  <c r="J208" i="2" s="1"/>
  <c r="H200" i="10"/>
  <c r="H199" i="10"/>
  <c r="H198" i="10"/>
  <c r="I206" i="2" s="1"/>
  <c r="J206" i="2" s="1"/>
  <c r="H197" i="10"/>
  <c r="I205" i="2" s="1"/>
  <c r="J205" i="2" s="1"/>
  <c r="H196" i="10"/>
  <c r="H195" i="10"/>
  <c r="I203" i="2" s="1"/>
  <c r="J203" i="2" s="1"/>
  <c r="H194" i="10"/>
  <c r="H193" i="10"/>
  <c r="I200" i="2" s="1"/>
  <c r="J200" i="2" s="1"/>
  <c r="H192" i="10"/>
  <c r="H191" i="10"/>
  <c r="H190" i="10"/>
  <c r="I197" i="2" s="1"/>
  <c r="J197" i="2" s="1"/>
  <c r="H189" i="10"/>
  <c r="I196" i="2" s="1"/>
  <c r="J196" i="2" s="1"/>
  <c r="H188" i="10"/>
  <c r="H187" i="10"/>
  <c r="I194" i="2" s="1"/>
  <c r="J194" i="2" s="1"/>
  <c r="H186" i="10"/>
  <c r="H185" i="10"/>
  <c r="I192" i="2" s="1"/>
  <c r="J192" i="2" s="1"/>
  <c r="H184" i="10"/>
  <c r="H183" i="10"/>
  <c r="H182" i="10"/>
  <c r="I189" i="2" s="1"/>
  <c r="J189" i="2" s="1"/>
  <c r="H181" i="10"/>
  <c r="H180" i="10"/>
  <c r="H179" i="10"/>
  <c r="I185" i="2" s="1"/>
  <c r="J185" i="2" s="1"/>
  <c r="H178" i="10"/>
  <c r="H177" i="10"/>
  <c r="I183" i="2" s="1"/>
  <c r="J183" i="2" s="1"/>
  <c r="H176" i="10"/>
  <c r="H175" i="10"/>
  <c r="H174" i="10"/>
  <c r="I180" i="2" s="1"/>
  <c r="J180" i="2" s="1"/>
  <c r="H173" i="10"/>
  <c r="H172" i="10"/>
  <c r="H171" i="10"/>
  <c r="I177" i="2" s="1"/>
  <c r="J177" i="2" s="1"/>
  <c r="H170" i="10"/>
  <c r="H169" i="10"/>
  <c r="I175" i="2" s="1"/>
  <c r="J175" i="2" s="1"/>
  <c r="H168" i="10"/>
  <c r="H167" i="10"/>
  <c r="H166" i="10"/>
  <c r="I172" i="2" s="1"/>
  <c r="J172" i="2" s="1"/>
  <c r="H165" i="10"/>
  <c r="H164" i="10"/>
  <c r="H163" i="10"/>
  <c r="I169" i="2" s="1"/>
  <c r="J169" i="2" s="1"/>
  <c r="H162" i="10"/>
  <c r="H161" i="10"/>
  <c r="I167" i="2" s="1"/>
  <c r="J167" i="2" s="1"/>
  <c r="H160" i="10"/>
  <c r="H159" i="10"/>
  <c r="H158" i="10"/>
  <c r="I164" i="2" s="1"/>
  <c r="J164" i="2" s="1"/>
  <c r="H157" i="10"/>
  <c r="H156" i="10"/>
  <c r="H155" i="10"/>
  <c r="I161" i="2" s="1"/>
  <c r="J161" i="2" s="1"/>
  <c r="H154" i="10"/>
  <c r="H153" i="10"/>
  <c r="I159" i="2" s="1"/>
  <c r="J159" i="2" s="1"/>
  <c r="H152" i="10"/>
  <c r="H151" i="10"/>
  <c r="H150" i="10"/>
  <c r="I156" i="2" s="1"/>
  <c r="J156" i="2" s="1"/>
  <c r="H148" i="10"/>
  <c r="I154" i="2" s="1"/>
  <c r="J154" i="2" s="1"/>
  <c r="H147" i="10"/>
  <c r="H146" i="10"/>
  <c r="I152" i="2" s="1"/>
  <c r="J152" i="2" s="1"/>
  <c r="H145" i="10"/>
  <c r="H144" i="10"/>
  <c r="I150" i="2" s="1"/>
  <c r="J150" i="2" s="1"/>
  <c r="H143" i="10"/>
  <c r="H142" i="10"/>
  <c r="H141" i="10"/>
  <c r="I146" i="2" s="1"/>
  <c r="J146" i="2" s="1"/>
  <c r="H138" i="10"/>
  <c r="I143" i="2" s="1"/>
  <c r="J143" i="2" s="1"/>
  <c r="H137" i="10"/>
  <c r="H136" i="10"/>
  <c r="I141" i="2" s="1"/>
  <c r="J141" i="2" s="1"/>
  <c r="H135" i="10"/>
  <c r="H134" i="10"/>
  <c r="H133" i="10"/>
  <c r="H132" i="10"/>
  <c r="H131" i="10"/>
  <c r="I136" i="2" s="1"/>
  <c r="J136" i="2" s="1"/>
  <c r="H130" i="10"/>
  <c r="H129" i="10"/>
  <c r="H128" i="10"/>
  <c r="I133" i="2" s="1"/>
  <c r="J133" i="2" s="1"/>
  <c r="H127" i="10"/>
  <c r="H126" i="10"/>
  <c r="H125" i="10"/>
  <c r="H124" i="10"/>
  <c r="H123" i="10"/>
  <c r="I128" i="2" s="1"/>
  <c r="J128" i="2" s="1"/>
  <c r="H122" i="10"/>
  <c r="H121" i="10"/>
  <c r="H120" i="10"/>
  <c r="I125" i="2" s="1"/>
  <c r="J125" i="2" s="1"/>
  <c r="H119" i="10"/>
  <c r="H118" i="10"/>
  <c r="H117" i="10"/>
  <c r="H116" i="10"/>
  <c r="H115" i="10"/>
  <c r="I120" i="2" s="1"/>
  <c r="J120" i="2" s="1"/>
  <c r="H114" i="10"/>
  <c r="H113" i="10"/>
  <c r="H112" i="10"/>
  <c r="I117" i="2" s="1"/>
  <c r="J117" i="2" s="1"/>
  <c r="H111" i="10"/>
  <c r="H110" i="10"/>
  <c r="I115" i="2" s="1"/>
  <c r="J115" i="2" s="1"/>
  <c r="H109" i="10"/>
  <c r="H108" i="10"/>
  <c r="H107" i="10"/>
  <c r="I112" i="2" s="1"/>
  <c r="J112" i="2" s="1"/>
  <c r="H106" i="10"/>
  <c r="H105" i="10"/>
  <c r="H104" i="10"/>
  <c r="I109" i="2" s="1"/>
  <c r="J109" i="2" s="1"/>
  <c r="H103" i="10"/>
  <c r="H102" i="10"/>
  <c r="I107" i="2" s="1"/>
  <c r="J107" i="2" s="1"/>
  <c r="H101" i="10"/>
  <c r="H100" i="10"/>
  <c r="H98" i="10"/>
  <c r="I103" i="2" s="1"/>
  <c r="J103" i="2" s="1"/>
  <c r="H97" i="10"/>
  <c r="H96" i="10"/>
  <c r="H95" i="10"/>
  <c r="H94" i="10"/>
  <c r="H93" i="10"/>
  <c r="I98" i="2" s="1"/>
  <c r="J98" i="2" s="1"/>
  <c r="H92" i="10"/>
  <c r="H91" i="10"/>
  <c r="H90" i="10"/>
  <c r="I95" i="2" s="1"/>
  <c r="J95" i="2" s="1"/>
  <c r="H89" i="10"/>
  <c r="H88" i="10"/>
  <c r="I92" i="2" s="1"/>
  <c r="J92" i="2" s="1"/>
  <c r="H87" i="10"/>
  <c r="H86" i="10"/>
  <c r="H85" i="10"/>
  <c r="I90" i="2" s="1"/>
  <c r="J90" i="2" s="1"/>
  <c r="H84" i="10"/>
  <c r="H83" i="10"/>
  <c r="H82" i="10"/>
  <c r="I87" i="2" s="1"/>
  <c r="J87" i="2" s="1"/>
  <c r="H81" i="10"/>
  <c r="H80" i="10"/>
  <c r="I84" i="2" s="1"/>
  <c r="J84" i="2" s="1"/>
  <c r="H79" i="10"/>
  <c r="H78" i="10"/>
  <c r="H77" i="10"/>
  <c r="I81" i="2" s="1"/>
  <c r="J81" i="2" s="1"/>
  <c r="H76" i="10"/>
  <c r="H75" i="10"/>
  <c r="H74" i="10"/>
  <c r="I78" i="2" s="1"/>
  <c r="J78" i="2" s="1"/>
  <c r="H73" i="10"/>
  <c r="I76" i="2" s="1"/>
  <c r="J76" i="2" s="1"/>
  <c r="H72" i="10"/>
  <c r="H71" i="10"/>
  <c r="I75" i="2" s="1"/>
  <c r="J75" i="2" s="1"/>
  <c r="H70" i="10"/>
  <c r="H69" i="10"/>
  <c r="I73" i="2" s="1"/>
  <c r="J73" i="2" s="1"/>
  <c r="H68" i="10"/>
  <c r="I72" i="2" s="1"/>
  <c r="J72" i="2" s="1"/>
  <c r="H67" i="10"/>
  <c r="H66" i="10"/>
  <c r="I70" i="2" s="1"/>
  <c r="J70" i="2" s="1"/>
  <c r="H65" i="10"/>
  <c r="H64" i="10"/>
  <c r="H63" i="10"/>
  <c r="I67" i="2" s="1"/>
  <c r="J67" i="2" s="1"/>
  <c r="H62" i="10"/>
  <c r="H61" i="10"/>
  <c r="I65" i="2" s="1"/>
  <c r="J65" i="2" s="1"/>
  <c r="H60" i="10"/>
  <c r="I64" i="2" s="1"/>
  <c r="J64" i="2" s="1"/>
  <c r="H59" i="10"/>
  <c r="H58" i="10"/>
  <c r="I62" i="2" s="1"/>
  <c r="J62" i="2" s="1"/>
  <c r="H57" i="10"/>
  <c r="H56" i="10"/>
  <c r="H55" i="10"/>
  <c r="I59" i="2" s="1"/>
  <c r="J59" i="2" s="1"/>
  <c r="H54" i="10"/>
  <c r="H53" i="10"/>
  <c r="I57" i="2" s="1"/>
  <c r="J57" i="2" s="1"/>
  <c r="H52" i="10"/>
  <c r="I56" i="2" s="1"/>
  <c r="J56" i="2" s="1"/>
  <c r="H51" i="10"/>
  <c r="H50" i="10"/>
  <c r="I54" i="2" s="1"/>
  <c r="J54" i="2" s="1"/>
  <c r="H49" i="10"/>
  <c r="H48" i="10"/>
  <c r="H47" i="10"/>
  <c r="I49" i="2" s="1"/>
  <c r="J49" i="2" s="1"/>
  <c r="H46" i="10"/>
  <c r="H45" i="10"/>
  <c r="I47" i="2" s="1"/>
  <c r="J47" i="2" s="1"/>
  <c r="H44" i="10"/>
  <c r="I46" i="2" s="1"/>
  <c r="J46" i="2" s="1"/>
  <c r="H43" i="10"/>
  <c r="H42" i="10"/>
  <c r="I44" i="2" s="1"/>
  <c r="J44" i="2" s="1"/>
  <c r="H41" i="10"/>
  <c r="I42" i="2" s="1"/>
  <c r="J42" i="2" s="1"/>
  <c r="H39" i="10"/>
  <c r="I41" i="2" s="1"/>
  <c r="J41" i="2" s="1"/>
  <c r="H38" i="10"/>
  <c r="I40" i="2" s="1"/>
  <c r="J40" i="2" s="1"/>
  <c r="H37" i="10"/>
  <c r="H36" i="10"/>
  <c r="I38" i="2" s="1"/>
  <c r="J38" i="2" s="1"/>
  <c r="H35" i="10"/>
  <c r="I37" i="2" s="1"/>
  <c r="J37" i="2" s="1"/>
  <c r="H34" i="10"/>
  <c r="H33" i="10"/>
  <c r="I36" i="2" s="1"/>
  <c r="J36" i="2" s="1"/>
  <c r="H32" i="10"/>
  <c r="H31" i="10"/>
  <c r="H30" i="10"/>
  <c r="I33" i="2" s="1"/>
  <c r="J33" i="2" s="1"/>
  <c r="H28" i="10"/>
  <c r="I31" i="2" s="1"/>
  <c r="J31" i="2" s="1"/>
  <c r="H27" i="10"/>
  <c r="I30" i="2" s="1"/>
  <c r="J30" i="2" s="1"/>
  <c r="H26" i="10"/>
  <c r="I29" i="2" s="1"/>
  <c r="J29" i="2" s="1"/>
  <c r="H25" i="10"/>
  <c r="H24" i="10"/>
  <c r="I27" i="2" s="1"/>
  <c r="J27" i="2" s="1"/>
  <c r="H23" i="10"/>
  <c r="H22" i="10"/>
  <c r="H20" i="10"/>
  <c r="I23" i="2" s="1"/>
  <c r="J23" i="2" s="1"/>
  <c r="H19" i="10"/>
  <c r="H18" i="10"/>
  <c r="I21" i="2" s="1"/>
  <c r="J21" i="2" s="1"/>
  <c r="H17" i="10"/>
  <c r="I20" i="2" s="1"/>
  <c r="J20" i="2" s="1"/>
  <c r="H16" i="10"/>
  <c r="H15" i="10"/>
  <c r="I18" i="2" s="1"/>
  <c r="J18" i="2" s="1"/>
  <c r="H14" i="10"/>
  <c r="H13" i="10"/>
  <c r="H12" i="10"/>
  <c r="I15" i="2" s="1"/>
  <c r="J15" i="2" s="1"/>
  <c r="H11" i="10"/>
  <c r="H10" i="10"/>
  <c r="I13" i="2" s="1"/>
  <c r="J13" i="2" s="1"/>
  <c r="H9" i="10"/>
  <c r="I12" i="2" s="1"/>
  <c r="J12" i="2" s="1"/>
  <c r="H8" i="10"/>
  <c r="H7" i="10"/>
  <c r="I10" i="2" s="1"/>
  <c r="J10" i="2" s="1"/>
  <c r="H6" i="10"/>
  <c r="H5" i="10"/>
  <c r="H4" i="10"/>
  <c r="I7" i="2" s="1"/>
  <c r="J7" i="2" s="1"/>
  <c r="H3" i="10"/>
  <c r="H2" i="10"/>
  <c r="I4" i="2" s="1"/>
  <c r="J4" i="2" s="1"/>
  <c r="I80" i="2" l="1"/>
  <c r="J80" i="2" s="1"/>
  <c r="I89" i="2"/>
  <c r="J89" i="2" s="1"/>
  <c r="I97" i="2"/>
  <c r="J97" i="2" s="1"/>
  <c r="I106" i="2"/>
  <c r="J106" i="2" s="1"/>
  <c r="I114" i="2"/>
  <c r="J114" i="2" s="1"/>
  <c r="I122" i="2"/>
  <c r="J122" i="2" s="1"/>
  <c r="I130" i="2"/>
  <c r="J130" i="2" s="1"/>
  <c r="I138" i="2"/>
  <c r="J138" i="2" s="1"/>
  <c r="I149" i="2"/>
  <c r="J149" i="2" s="1"/>
  <c r="I158" i="2"/>
  <c r="J158" i="2" s="1"/>
  <c r="I166" i="2"/>
  <c r="J166" i="2" s="1"/>
  <c r="I174" i="2"/>
  <c r="J174" i="2" s="1"/>
  <c r="I182" i="2"/>
  <c r="J182" i="2" s="1"/>
  <c r="I191" i="2"/>
  <c r="J191" i="2" s="1"/>
  <c r="I199" i="2"/>
  <c r="J199" i="2" s="1"/>
  <c r="I215" i="2"/>
  <c r="J215" i="2" s="1"/>
  <c r="I222" i="2"/>
  <c r="J222" i="2" s="1"/>
  <c r="I231" i="2"/>
  <c r="J231" i="2" s="1"/>
  <c r="I240" i="2"/>
  <c r="J240" i="2" s="1"/>
  <c r="I249" i="2"/>
  <c r="J249" i="2" s="1"/>
  <c r="I257" i="2"/>
  <c r="J257" i="2" s="1"/>
  <c r="I264" i="2"/>
  <c r="J264" i="2" s="1"/>
  <c r="I270" i="2"/>
  <c r="J270" i="2" s="1"/>
  <c r="I277" i="2"/>
  <c r="J277" i="2" s="1"/>
  <c r="I291" i="2"/>
  <c r="J291" i="2" s="1"/>
  <c r="I297" i="2"/>
  <c r="J297" i="2" s="1"/>
  <c r="I43" i="2"/>
  <c r="J43" i="2" s="1"/>
  <c r="I5" i="2"/>
  <c r="J5" i="2" s="1"/>
  <c r="I14" i="2"/>
  <c r="J14" i="2" s="1"/>
  <c r="I22" i="2"/>
  <c r="J22" i="2" s="1"/>
  <c r="I39" i="2"/>
  <c r="J39" i="2" s="1"/>
  <c r="I48" i="2"/>
  <c r="J48" i="2" s="1"/>
  <c r="I58" i="2"/>
  <c r="J58" i="2" s="1"/>
  <c r="I66" i="2"/>
  <c r="J66" i="2" s="1"/>
  <c r="I74" i="2"/>
  <c r="J74" i="2" s="1"/>
  <c r="I82" i="2"/>
  <c r="J82" i="2" s="1"/>
  <c r="I91" i="2"/>
  <c r="J91" i="2" s="1"/>
  <c r="I99" i="2"/>
  <c r="J99" i="2" s="1"/>
  <c r="I124" i="2"/>
  <c r="J124" i="2" s="1"/>
  <c r="I132" i="2"/>
  <c r="J132" i="2" s="1"/>
  <c r="I140" i="2"/>
  <c r="J140" i="2" s="1"/>
  <c r="I151" i="2"/>
  <c r="J151" i="2" s="1"/>
  <c r="I160" i="2"/>
  <c r="J160" i="2" s="1"/>
  <c r="I168" i="2"/>
  <c r="J168" i="2" s="1"/>
  <c r="I176" i="2"/>
  <c r="J176" i="2" s="1"/>
  <c r="I184" i="2"/>
  <c r="J184" i="2" s="1"/>
  <c r="I193" i="2"/>
  <c r="J193" i="2" s="1"/>
  <c r="I202" i="2"/>
  <c r="J202" i="2" s="1"/>
  <c r="I209" i="2"/>
  <c r="J209" i="2" s="1"/>
  <c r="I217" i="2"/>
  <c r="J217" i="2" s="1"/>
  <c r="I224" i="2"/>
  <c r="J224" i="2" s="1"/>
  <c r="I234" i="2"/>
  <c r="J234" i="2" s="1"/>
  <c r="I242" i="2"/>
  <c r="J242" i="2" s="1"/>
  <c r="I251" i="2"/>
  <c r="J251" i="2" s="1"/>
  <c r="I272" i="2"/>
  <c r="J272" i="2" s="1"/>
  <c r="I279" i="2"/>
  <c r="J279" i="2" s="1"/>
  <c r="I286" i="2"/>
  <c r="J286" i="2" s="1"/>
  <c r="I293" i="2"/>
  <c r="J293" i="2" s="1"/>
  <c r="I299" i="2"/>
  <c r="J299" i="2" s="1"/>
  <c r="I236" i="2"/>
  <c r="J236" i="2" s="1"/>
  <c r="I187" i="2"/>
  <c r="J187" i="2" s="1"/>
  <c r="I139" i="2"/>
  <c r="J139" i="2" s="1"/>
  <c r="I292" i="2"/>
  <c r="J292" i="2" s="1"/>
  <c r="I179" i="2"/>
  <c r="J179" i="2" s="1"/>
  <c r="I131" i="2"/>
  <c r="J131" i="2" s="1"/>
  <c r="I35" i="2"/>
  <c r="J35" i="2" s="1"/>
  <c r="I8" i="2"/>
  <c r="J8" i="2" s="1"/>
  <c r="I16" i="2"/>
  <c r="J16" i="2" s="1"/>
  <c r="I25" i="2"/>
  <c r="J25" i="2" s="1"/>
  <c r="I34" i="2"/>
  <c r="J34" i="2" s="1"/>
  <c r="I85" i="2"/>
  <c r="J85" i="2" s="1"/>
  <c r="I93" i="2"/>
  <c r="J93" i="2" s="1"/>
  <c r="I101" i="2"/>
  <c r="J101" i="2" s="1"/>
  <c r="I110" i="2"/>
  <c r="J110" i="2" s="1"/>
  <c r="I118" i="2"/>
  <c r="J118" i="2" s="1"/>
  <c r="I126" i="2"/>
  <c r="J126" i="2" s="1"/>
  <c r="I134" i="2"/>
  <c r="J134" i="2" s="1"/>
  <c r="I142" i="2"/>
  <c r="J142" i="2" s="1"/>
  <c r="I153" i="2"/>
  <c r="J153" i="2" s="1"/>
  <c r="I162" i="2"/>
  <c r="J162" i="2" s="1"/>
  <c r="I170" i="2"/>
  <c r="J170" i="2" s="1"/>
  <c r="I178" i="2"/>
  <c r="J178" i="2" s="1"/>
  <c r="I186" i="2"/>
  <c r="J186" i="2" s="1"/>
  <c r="I211" i="2"/>
  <c r="J211" i="2" s="1"/>
  <c r="I219" i="2"/>
  <c r="J219" i="2" s="1"/>
  <c r="I226" i="2"/>
  <c r="J226" i="2" s="1"/>
  <c r="I245" i="2"/>
  <c r="J245" i="2" s="1"/>
  <c r="I253" i="2"/>
  <c r="J253" i="2" s="1"/>
  <c r="I266" i="2"/>
  <c r="J266" i="2" s="1"/>
  <c r="I284" i="2"/>
  <c r="J284" i="2" s="1"/>
  <c r="I227" i="2"/>
  <c r="J227" i="2" s="1"/>
  <c r="I171" i="2"/>
  <c r="J171" i="2" s="1"/>
  <c r="I123" i="2"/>
  <c r="J123" i="2" s="1"/>
  <c r="I32" i="2"/>
  <c r="J32" i="2" s="1"/>
  <c r="I9" i="2"/>
  <c r="J9" i="2" s="1"/>
  <c r="I17" i="2"/>
  <c r="J17" i="2" s="1"/>
  <c r="I26" i="2"/>
  <c r="J26" i="2" s="1"/>
  <c r="I53" i="2"/>
  <c r="J53" i="2" s="1"/>
  <c r="I61" i="2"/>
  <c r="J61" i="2" s="1"/>
  <c r="I69" i="2"/>
  <c r="J69" i="2" s="1"/>
  <c r="I77" i="2"/>
  <c r="J77" i="2" s="1"/>
  <c r="I86" i="2"/>
  <c r="J86" i="2" s="1"/>
  <c r="I94" i="2"/>
  <c r="J94" i="2" s="1"/>
  <c r="I102" i="2"/>
  <c r="J102" i="2" s="1"/>
  <c r="I111" i="2"/>
  <c r="J111" i="2" s="1"/>
  <c r="I119" i="2"/>
  <c r="J119" i="2" s="1"/>
  <c r="I127" i="2"/>
  <c r="J127" i="2" s="1"/>
  <c r="I135" i="2"/>
  <c r="J135" i="2" s="1"/>
  <c r="I276" i="2"/>
  <c r="J276" i="2" s="1"/>
  <c r="I220" i="2"/>
  <c r="J220" i="2" s="1"/>
  <c r="I163" i="2"/>
  <c r="J163" i="2" s="1"/>
  <c r="I116" i="2"/>
  <c r="J116" i="2" s="1"/>
  <c r="I68" i="2"/>
  <c r="J68" i="2" s="1"/>
  <c r="I24" i="2"/>
  <c r="J24" i="2" s="1"/>
  <c r="I260" i="2"/>
  <c r="J260" i="2" s="1"/>
  <c r="I212" i="2"/>
  <c r="J212" i="2" s="1"/>
  <c r="I155" i="2"/>
  <c r="J155" i="2" s="1"/>
  <c r="I108" i="2"/>
  <c r="J108" i="2" s="1"/>
  <c r="I60" i="2"/>
  <c r="J60" i="2" s="1"/>
  <c r="I19" i="2"/>
  <c r="J19" i="2" s="1"/>
  <c r="I28" i="2"/>
  <c r="J28" i="2" s="1"/>
  <c r="I45" i="2"/>
  <c r="J45" i="2" s="1"/>
  <c r="I55" i="2"/>
  <c r="J55" i="2" s="1"/>
  <c r="I63" i="2"/>
  <c r="J63" i="2" s="1"/>
  <c r="I71" i="2"/>
  <c r="J71" i="2" s="1"/>
  <c r="I79" i="2"/>
  <c r="J79" i="2" s="1"/>
  <c r="I88" i="2"/>
  <c r="J88" i="2" s="1"/>
  <c r="I96" i="2"/>
  <c r="J96" i="2" s="1"/>
  <c r="I105" i="2"/>
  <c r="J105" i="2" s="1"/>
  <c r="I113" i="2"/>
  <c r="J113" i="2" s="1"/>
  <c r="I121" i="2"/>
  <c r="J121" i="2" s="1"/>
  <c r="I129" i="2"/>
  <c r="J129" i="2" s="1"/>
  <c r="I137" i="2"/>
  <c r="J137" i="2" s="1"/>
  <c r="I148" i="2"/>
  <c r="J148" i="2" s="1"/>
  <c r="I157" i="2"/>
  <c r="J157" i="2" s="1"/>
  <c r="I165" i="2"/>
  <c r="J165" i="2" s="1"/>
  <c r="I173" i="2"/>
  <c r="J173" i="2" s="1"/>
  <c r="I181" i="2"/>
  <c r="J181" i="2" s="1"/>
  <c r="I190" i="2"/>
  <c r="J190" i="2" s="1"/>
  <c r="I198" i="2"/>
  <c r="J198" i="2" s="1"/>
  <c r="I207" i="2"/>
  <c r="J207" i="2" s="1"/>
  <c r="I214" i="2"/>
  <c r="J214" i="2" s="1"/>
  <c r="I229" i="2"/>
  <c r="J229" i="2" s="1"/>
  <c r="I239" i="2"/>
  <c r="J239" i="2" s="1"/>
  <c r="I248" i="2"/>
  <c r="J248" i="2" s="1"/>
  <c r="I256" i="2"/>
  <c r="J256" i="2" s="1"/>
  <c r="I263" i="2"/>
  <c r="J263" i="2" s="1"/>
  <c r="I269" i="2"/>
  <c r="J269" i="2" s="1"/>
  <c r="I283" i="2"/>
  <c r="J283" i="2" s="1"/>
  <c r="I290" i="2"/>
  <c r="J290" i="2" s="1"/>
  <c r="I252" i="2"/>
  <c r="J252" i="2" s="1"/>
  <c r="I204" i="2"/>
  <c r="J204" i="2" s="1"/>
  <c r="I104" i="2"/>
  <c r="J104" i="2" s="1"/>
  <c r="I52" i="2"/>
  <c r="J52" i="2" s="1"/>
  <c r="I11" i="2"/>
  <c r="J11" i="2" s="1"/>
  <c r="I3" i="2"/>
  <c r="J3" i="2" s="1"/>
  <c r="I244" i="2"/>
  <c r="J244" i="2" s="1"/>
  <c r="I195" i="2"/>
  <c r="J195" i="2" s="1"/>
  <c r="I145" i="2"/>
  <c r="J145" i="2" s="1"/>
  <c r="I100" i="2"/>
  <c r="J100" i="2" s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4" i="2"/>
  <c r="AE225" i="2"/>
  <c r="AE226" i="2"/>
  <c r="AE227" i="2"/>
  <c r="AE228" i="2"/>
  <c r="AE229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" i="2"/>
  <c r="F10" i="7"/>
  <c r="I4" i="6"/>
  <c r="K4" i="6" s="1"/>
  <c r="I5" i="6"/>
  <c r="I3" i="6"/>
  <c r="H5" i="6"/>
  <c r="H4" i="6"/>
  <c r="H3" i="6"/>
  <c r="X319" i="2"/>
  <c r="X318" i="2"/>
  <c r="X317" i="2"/>
  <c r="X316" i="2"/>
  <c r="X315" i="2"/>
  <c r="X314" i="2"/>
  <c r="X313" i="2"/>
  <c r="X312" i="2"/>
  <c r="X311" i="2"/>
  <c r="X310" i="2"/>
  <c r="X308" i="2"/>
  <c r="X306" i="2"/>
  <c r="X305" i="2"/>
  <c r="X304" i="2"/>
  <c r="X301" i="2"/>
  <c r="X299" i="2"/>
  <c r="X297" i="2"/>
  <c r="X296" i="2"/>
  <c r="X293" i="2"/>
  <c r="X292" i="2"/>
  <c r="X291" i="2"/>
  <c r="X290" i="2"/>
  <c r="X289" i="2"/>
  <c r="X288" i="2"/>
  <c r="X286" i="2"/>
  <c r="X282" i="2"/>
  <c r="X274" i="2"/>
  <c r="X272" i="2"/>
  <c r="X271" i="2"/>
  <c r="X269" i="2"/>
  <c r="X263" i="2"/>
  <c r="X262" i="2"/>
  <c r="X260" i="2"/>
  <c r="X259" i="2"/>
  <c r="X256" i="2"/>
  <c r="X254" i="2"/>
  <c r="X253" i="2"/>
  <c r="X247" i="2"/>
  <c r="X246" i="2"/>
  <c r="X245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29" i="2"/>
  <c r="X228" i="2"/>
  <c r="X227" i="2"/>
  <c r="X225" i="2"/>
  <c r="X224" i="2"/>
  <c r="X222" i="2"/>
  <c r="X220" i="2"/>
  <c r="X219" i="2"/>
  <c r="X217" i="2"/>
  <c r="X213" i="2"/>
  <c r="X212" i="2"/>
  <c r="X211" i="2"/>
  <c r="X210" i="2"/>
  <c r="X207" i="2"/>
  <c r="X204" i="2"/>
  <c r="X202" i="2"/>
  <c r="X199" i="2"/>
  <c r="X198" i="2"/>
  <c r="X197" i="2"/>
  <c r="X196" i="2"/>
  <c r="X195" i="2"/>
  <c r="X194" i="2"/>
  <c r="X192" i="2"/>
  <c r="X191" i="2"/>
  <c r="X190" i="2"/>
  <c r="X189" i="2"/>
  <c r="X185" i="2"/>
  <c r="X184" i="2"/>
  <c r="X183" i="2"/>
  <c r="X182" i="2"/>
  <c r="X180" i="2"/>
  <c r="X179" i="2"/>
  <c r="X177" i="2"/>
  <c r="X172" i="2"/>
  <c r="X171" i="2"/>
  <c r="X170" i="2"/>
  <c r="X168" i="2"/>
  <c r="X167" i="2"/>
  <c r="X166" i="2"/>
  <c r="X165" i="2"/>
  <c r="X164" i="2"/>
  <c r="X162" i="2"/>
  <c r="X161" i="2"/>
  <c r="X160" i="2"/>
  <c r="X158" i="2"/>
  <c r="X155" i="2"/>
  <c r="X153" i="2"/>
  <c r="X152" i="2"/>
  <c r="X151" i="2"/>
  <c r="X150" i="2"/>
  <c r="X145" i="2"/>
  <c r="X142" i="2"/>
  <c r="X141" i="2"/>
  <c r="X140" i="2"/>
  <c r="X139" i="2"/>
  <c r="X137" i="2"/>
  <c r="X136" i="2"/>
  <c r="X134" i="2"/>
  <c r="X132" i="2"/>
  <c r="X130" i="2"/>
  <c r="X129" i="2"/>
  <c r="X128" i="2"/>
  <c r="X127" i="2"/>
  <c r="X126" i="2"/>
  <c r="X119" i="2"/>
  <c r="X115" i="2"/>
  <c r="X114" i="2"/>
  <c r="X113" i="2"/>
  <c r="X112" i="2"/>
  <c r="X110" i="2"/>
  <c r="X109" i="2"/>
  <c r="X108" i="2"/>
  <c r="X107" i="2"/>
  <c r="X105" i="2"/>
  <c r="X104" i="2"/>
  <c r="X103" i="2"/>
  <c r="X102" i="2"/>
  <c r="X101" i="2"/>
  <c r="X98" i="2"/>
  <c r="X97" i="2"/>
  <c r="X95" i="2"/>
  <c r="X94" i="2"/>
  <c r="X93" i="2"/>
  <c r="X92" i="2"/>
  <c r="X91" i="2"/>
  <c r="X90" i="2"/>
  <c r="X88" i="2"/>
  <c r="X86" i="2"/>
  <c r="X85" i="2"/>
  <c r="X83" i="2"/>
  <c r="X82" i="2"/>
  <c r="X80" i="2"/>
  <c r="X79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3" i="2"/>
  <c r="X61" i="2"/>
  <c r="X59" i="2"/>
  <c r="X58" i="2"/>
  <c r="X56" i="2"/>
  <c r="X55" i="2"/>
  <c r="X54" i="2"/>
  <c r="X53" i="2"/>
  <c r="X52" i="2"/>
  <c r="X51" i="2"/>
  <c r="X49" i="2"/>
  <c r="X48" i="2"/>
  <c r="X47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1" i="2"/>
  <c r="X30" i="2"/>
  <c r="X28" i="2"/>
  <c r="X27" i="2"/>
  <c r="X26" i="2"/>
  <c r="X25" i="2"/>
  <c r="X23" i="2"/>
  <c r="X21" i="2"/>
  <c r="X19" i="2"/>
  <c r="X18" i="2"/>
  <c r="X16" i="2"/>
  <c r="X15" i="2"/>
  <c r="X14" i="2"/>
  <c r="X13" i="2"/>
  <c r="X11" i="2"/>
  <c r="X9" i="2"/>
  <c r="X8" i="2"/>
  <c r="X7" i="2"/>
  <c r="X6" i="2"/>
  <c r="X5" i="2"/>
  <c r="X4" i="2"/>
  <c r="X3" i="2"/>
  <c r="F2" i="3"/>
  <c r="G2" i="3" s="1"/>
  <c r="F3" i="3"/>
  <c r="G3" i="3" s="1"/>
  <c r="F4" i="3"/>
  <c r="G4" i="3"/>
  <c r="F5" i="3"/>
  <c r="G5" i="3" s="1"/>
  <c r="F6" i="3"/>
  <c r="G6" i="3" s="1"/>
  <c r="F7" i="3"/>
  <c r="G7" i="3" s="1"/>
  <c r="F8" i="3"/>
  <c r="G8" i="3" s="1"/>
  <c r="F9" i="3"/>
  <c r="G9" i="3"/>
  <c r="F10" i="3"/>
  <c r="G10" i="3" s="1"/>
  <c r="F11" i="3"/>
  <c r="G11" i="3" s="1"/>
  <c r="F12" i="3"/>
  <c r="G12" i="3"/>
  <c r="F13" i="3"/>
  <c r="G13" i="3" s="1"/>
  <c r="F14" i="3"/>
  <c r="G14" i="3" s="1"/>
  <c r="F15" i="3"/>
  <c r="G15" i="3" s="1"/>
  <c r="F16" i="3"/>
  <c r="G16" i="3" s="1"/>
  <c r="F17" i="3"/>
  <c r="G17" i="3"/>
  <c r="F18" i="3"/>
  <c r="G18" i="3" s="1"/>
  <c r="F19" i="3"/>
  <c r="G19" i="3" s="1"/>
  <c r="F20" i="3"/>
  <c r="G20" i="3"/>
  <c r="F21" i="3"/>
  <c r="G21" i="3" s="1"/>
  <c r="F22" i="3"/>
  <c r="G22" i="3" s="1"/>
  <c r="F23" i="3"/>
  <c r="G23" i="3" s="1"/>
  <c r="F24" i="3"/>
  <c r="G24" i="3" s="1"/>
  <c r="F25" i="3"/>
  <c r="G25" i="3"/>
  <c r="F26" i="3"/>
  <c r="G26" i="3" s="1"/>
  <c r="F27" i="3"/>
  <c r="G27" i="3" s="1"/>
  <c r="F28" i="3"/>
  <c r="G28" i="3"/>
  <c r="F29" i="3"/>
  <c r="G29" i="3" s="1"/>
  <c r="F30" i="3"/>
  <c r="G30" i="3" s="1"/>
  <c r="F31" i="3"/>
  <c r="G31" i="3" s="1"/>
  <c r="F32" i="3"/>
  <c r="G32" i="3" s="1"/>
  <c r="F33" i="3"/>
  <c r="G33" i="3"/>
  <c r="F34" i="3"/>
  <c r="G34" i="3" s="1"/>
  <c r="F35" i="3"/>
  <c r="G35" i="3" s="1"/>
  <c r="F36" i="3"/>
  <c r="G36" i="3"/>
  <c r="F37" i="3"/>
  <c r="G37" i="3" s="1"/>
  <c r="F38" i="3"/>
  <c r="G38" i="3" s="1"/>
  <c r="F39" i="3"/>
  <c r="G39" i="3" s="1"/>
  <c r="F40" i="3"/>
  <c r="G40" i="3" s="1"/>
  <c r="F41" i="3"/>
  <c r="G41" i="3"/>
  <c r="F42" i="3"/>
  <c r="G42" i="3" s="1"/>
  <c r="F43" i="3"/>
  <c r="G43" i="3" s="1"/>
  <c r="F44" i="3"/>
  <c r="G44" i="3"/>
  <c r="F45" i="3"/>
  <c r="G45" i="3" s="1"/>
  <c r="F46" i="3"/>
  <c r="G46" i="3" s="1"/>
  <c r="F47" i="3"/>
  <c r="G47" i="3" s="1"/>
  <c r="F48" i="3"/>
  <c r="G48" i="3" s="1"/>
  <c r="F49" i="3"/>
  <c r="G49" i="3"/>
  <c r="F50" i="3"/>
  <c r="G50" i="3" s="1"/>
  <c r="F51" i="3"/>
  <c r="G51" i="3" s="1"/>
  <c r="F52" i="3"/>
  <c r="G52" i="3"/>
  <c r="F53" i="3"/>
  <c r="G53" i="3" s="1"/>
  <c r="F54" i="3"/>
  <c r="G54" i="3" s="1"/>
  <c r="F55" i="3"/>
  <c r="G55" i="3" s="1"/>
  <c r="F56" i="3"/>
  <c r="G56" i="3" s="1"/>
  <c r="F57" i="3"/>
  <c r="G57" i="3"/>
  <c r="F58" i="3"/>
  <c r="G58" i="3" s="1"/>
  <c r="F59" i="3"/>
  <c r="G59" i="3" s="1"/>
  <c r="F60" i="3"/>
  <c r="G60" i="3"/>
  <c r="F61" i="3"/>
  <c r="G61" i="3" s="1"/>
  <c r="F62" i="3"/>
  <c r="G62" i="3" s="1"/>
  <c r="F63" i="3"/>
  <c r="G63" i="3" s="1"/>
  <c r="F64" i="3"/>
  <c r="G64" i="3" s="1"/>
  <c r="F65" i="3"/>
  <c r="G65" i="3"/>
  <c r="F66" i="3"/>
  <c r="G66" i="3" s="1"/>
  <c r="F67" i="3"/>
  <c r="G67" i="3" s="1"/>
  <c r="F68" i="3"/>
  <c r="G68" i="3"/>
  <c r="F69" i="3"/>
  <c r="G69" i="3" s="1"/>
  <c r="F70" i="3"/>
  <c r="G70" i="3" s="1"/>
  <c r="F71" i="3"/>
  <c r="G71" i="3" s="1"/>
  <c r="F72" i="3"/>
  <c r="G72" i="3" s="1"/>
  <c r="F73" i="3"/>
  <c r="G73" i="3"/>
  <c r="F74" i="3"/>
  <c r="G74" i="3" s="1"/>
  <c r="F75" i="3"/>
  <c r="G75" i="3" s="1"/>
  <c r="F76" i="3"/>
  <c r="G76" i="3"/>
  <c r="F77" i="3"/>
  <c r="G77" i="3" s="1"/>
  <c r="F78" i="3"/>
  <c r="G78" i="3" s="1"/>
  <c r="F79" i="3"/>
  <c r="G79" i="3" s="1"/>
  <c r="F80" i="3"/>
  <c r="G80" i="3" s="1"/>
  <c r="F81" i="3"/>
  <c r="G81" i="3"/>
  <c r="F82" i="3"/>
  <c r="G82" i="3" s="1"/>
  <c r="F83" i="3"/>
  <c r="G83" i="3" s="1"/>
  <c r="F84" i="3"/>
  <c r="G84" i="3"/>
  <c r="F85" i="3"/>
  <c r="G85" i="3" s="1"/>
  <c r="F86" i="3"/>
  <c r="G86" i="3" s="1"/>
  <c r="F87" i="3"/>
  <c r="G87" i="3" s="1"/>
  <c r="F88" i="3"/>
  <c r="G88" i="3" s="1"/>
  <c r="F89" i="3"/>
  <c r="G89" i="3"/>
  <c r="F90" i="3"/>
  <c r="G90" i="3" s="1"/>
  <c r="F91" i="3"/>
  <c r="G91" i="3" s="1"/>
  <c r="F92" i="3"/>
  <c r="G92" i="3"/>
  <c r="F93" i="3"/>
  <c r="G93" i="3" s="1"/>
  <c r="F94" i="3"/>
  <c r="G94" i="3" s="1"/>
  <c r="F95" i="3"/>
  <c r="G95" i="3" s="1"/>
  <c r="F96" i="3"/>
  <c r="G96" i="3" s="1"/>
  <c r="F97" i="3"/>
  <c r="G97" i="3"/>
  <c r="F98" i="3"/>
  <c r="G98" i="3" s="1"/>
  <c r="F99" i="3"/>
  <c r="G99" i="3" s="1"/>
  <c r="F100" i="3"/>
  <c r="G100" i="3"/>
  <c r="F101" i="3"/>
  <c r="G101" i="3" s="1"/>
  <c r="F102" i="3"/>
  <c r="G102" i="3" s="1"/>
  <c r="F103" i="3"/>
  <c r="G103" i="3" s="1"/>
  <c r="F104" i="3"/>
  <c r="G104" i="3" s="1"/>
  <c r="F105" i="3"/>
  <c r="G105" i="3"/>
  <c r="F106" i="3"/>
  <c r="G106" i="3" s="1"/>
  <c r="F107" i="3"/>
  <c r="G107" i="3" s="1"/>
  <c r="F108" i="3"/>
  <c r="G108" i="3"/>
  <c r="F109" i="3"/>
  <c r="G109" i="3" s="1"/>
  <c r="F110" i="3"/>
  <c r="G110" i="3" s="1"/>
  <c r="F111" i="3"/>
  <c r="G111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2" i="3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1" i="2"/>
  <c r="V231" i="2" s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U318" i="2"/>
  <c r="V318" i="2" s="1"/>
  <c r="U319" i="2"/>
  <c r="V319" i="2" s="1"/>
  <c r="U3" i="2"/>
  <c r="V3" i="2" s="1"/>
  <c r="S4" i="2"/>
  <c r="T4" i="2" s="1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1" i="2"/>
  <c r="T51" i="2" s="1"/>
  <c r="S52" i="2"/>
  <c r="T52" i="2" s="1"/>
  <c r="S53" i="2"/>
  <c r="T53" i="2" s="1"/>
  <c r="S54" i="2"/>
  <c r="T54" i="2" s="1"/>
  <c r="S55" i="2"/>
  <c r="T55" i="2" s="1"/>
  <c r="S56" i="2"/>
  <c r="T56" i="2" s="1"/>
  <c r="S57" i="2"/>
  <c r="T57" i="2" s="1"/>
  <c r="S58" i="2"/>
  <c r="T58" i="2" s="1"/>
  <c r="S59" i="2"/>
  <c r="T59" i="2" s="1"/>
  <c r="S60" i="2"/>
  <c r="T60" i="2" s="1"/>
  <c r="S61" i="2"/>
  <c r="T61" i="2" s="1"/>
  <c r="S62" i="2"/>
  <c r="T62" i="2" s="1"/>
  <c r="S63" i="2"/>
  <c r="T63" i="2" s="1"/>
  <c r="S64" i="2"/>
  <c r="T64" i="2" s="1"/>
  <c r="S65" i="2"/>
  <c r="T65" i="2" s="1"/>
  <c r="S66" i="2"/>
  <c r="T66" i="2" s="1"/>
  <c r="S67" i="2"/>
  <c r="T67" i="2" s="1"/>
  <c r="S68" i="2"/>
  <c r="T68" i="2" s="1"/>
  <c r="S69" i="2"/>
  <c r="T69" i="2" s="1"/>
  <c r="S70" i="2"/>
  <c r="T70" i="2" s="1"/>
  <c r="S71" i="2"/>
  <c r="T71" i="2" s="1"/>
  <c r="S72" i="2"/>
  <c r="T72" i="2" s="1"/>
  <c r="S73" i="2"/>
  <c r="T73" i="2" s="1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S82" i="2"/>
  <c r="T82" i="2" s="1"/>
  <c r="S83" i="2"/>
  <c r="T83" i="2" s="1"/>
  <c r="S84" i="2"/>
  <c r="T84" i="2" s="1"/>
  <c r="S85" i="2"/>
  <c r="T85" i="2" s="1"/>
  <c r="S86" i="2"/>
  <c r="T86" i="2" s="1"/>
  <c r="S87" i="2"/>
  <c r="T87" i="2" s="1"/>
  <c r="S88" i="2"/>
  <c r="T88" i="2" s="1"/>
  <c r="S89" i="2"/>
  <c r="T89" i="2" s="1"/>
  <c r="S90" i="2"/>
  <c r="T90" i="2" s="1"/>
  <c r="S91" i="2"/>
  <c r="T91" i="2" s="1"/>
  <c r="S92" i="2"/>
  <c r="T92" i="2" s="1"/>
  <c r="S93" i="2"/>
  <c r="T93" i="2" s="1"/>
  <c r="S94" i="2"/>
  <c r="T94" i="2" s="1"/>
  <c r="S95" i="2"/>
  <c r="T95" i="2" s="1"/>
  <c r="S96" i="2"/>
  <c r="T96" i="2" s="1"/>
  <c r="S97" i="2"/>
  <c r="T97" i="2" s="1"/>
  <c r="S98" i="2"/>
  <c r="T98" i="2" s="1"/>
  <c r="S99" i="2"/>
  <c r="T99" i="2" s="1"/>
  <c r="S100" i="2"/>
  <c r="T100" i="2" s="1"/>
  <c r="S101" i="2"/>
  <c r="T101" i="2" s="1"/>
  <c r="S102" i="2"/>
  <c r="T102" i="2" s="1"/>
  <c r="S103" i="2"/>
  <c r="T103" i="2" s="1"/>
  <c r="S104" i="2"/>
  <c r="T104" i="2" s="1"/>
  <c r="S105" i="2"/>
  <c r="T105" i="2" s="1"/>
  <c r="S106" i="2"/>
  <c r="T106" i="2" s="1"/>
  <c r="S107" i="2"/>
  <c r="T107" i="2" s="1"/>
  <c r="S108" i="2"/>
  <c r="T108" i="2" s="1"/>
  <c r="S109" i="2"/>
  <c r="T109" i="2" s="1"/>
  <c r="S110" i="2"/>
  <c r="T110" i="2" s="1"/>
  <c r="S111" i="2"/>
  <c r="T111" i="2" s="1"/>
  <c r="S112" i="2"/>
  <c r="T112" i="2" s="1"/>
  <c r="S113" i="2"/>
  <c r="T113" i="2" s="1"/>
  <c r="S114" i="2"/>
  <c r="T114" i="2" s="1"/>
  <c r="S115" i="2"/>
  <c r="T115" i="2" s="1"/>
  <c r="S116" i="2"/>
  <c r="T116" i="2" s="1"/>
  <c r="S117" i="2"/>
  <c r="T117" i="2" s="1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T128" i="2" s="1"/>
  <c r="S129" i="2"/>
  <c r="T129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T137" i="2" s="1"/>
  <c r="S138" i="2"/>
  <c r="T138" i="2" s="1"/>
  <c r="S139" i="2"/>
  <c r="T139" i="2" s="1"/>
  <c r="S140" i="2"/>
  <c r="T140" i="2" s="1"/>
  <c r="S141" i="2"/>
  <c r="T141" i="2" s="1"/>
  <c r="S142" i="2"/>
  <c r="T142" i="2" s="1"/>
  <c r="S143" i="2"/>
  <c r="T143" i="2" s="1"/>
  <c r="S144" i="2"/>
  <c r="T144" i="2" s="1"/>
  <c r="S145" i="2"/>
  <c r="T145" i="2" s="1"/>
  <c r="S146" i="2"/>
  <c r="T146" i="2" s="1"/>
  <c r="S147" i="2"/>
  <c r="T147" i="2" s="1"/>
  <c r="S148" i="2"/>
  <c r="T148" i="2" s="1"/>
  <c r="S149" i="2"/>
  <c r="T149" i="2" s="1"/>
  <c r="S150" i="2"/>
  <c r="T150" i="2" s="1"/>
  <c r="S151" i="2"/>
  <c r="T151" i="2" s="1"/>
  <c r="S152" i="2"/>
  <c r="T152" i="2" s="1"/>
  <c r="S153" i="2"/>
  <c r="T153" i="2" s="1"/>
  <c r="S154" i="2"/>
  <c r="T154" i="2" s="1"/>
  <c r="S155" i="2"/>
  <c r="T155" i="2" s="1"/>
  <c r="S156" i="2"/>
  <c r="T156" i="2" s="1"/>
  <c r="S157" i="2"/>
  <c r="T157" i="2" s="1"/>
  <c r="S158" i="2"/>
  <c r="T158" i="2" s="1"/>
  <c r="S159" i="2"/>
  <c r="T159" i="2" s="1"/>
  <c r="S160" i="2"/>
  <c r="T160" i="2" s="1"/>
  <c r="S161" i="2"/>
  <c r="T161" i="2" s="1"/>
  <c r="S162" i="2"/>
  <c r="T162" i="2" s="1"/>
  <c r="S163" i="2"/>
  <c r="T163" i="2" s="1"/>
  <c r="S164" i="2"/>
  <c r="T164" i="2" s="1"/>
  <c r="S165" i="2"/>
  <c r="T165" i="2" s="1"/>
  <c r="S166" i="2"/>
  <c r="T166" i="2" s="1"/>
  <c r="S167" i="2"/>
  <c r="T167" i="2" s="1"/>
  <c r="S168" i="2"/>
  <c r="T168" i="2" s="1"/>
  <c r="S169" i="2"/>
  <c r="T169" i="2" s="1"/>
  <c r="S170" i="2"/>
  <c r="T170" i="2" s="1"/>
  <c r="S171" i="2"/>
  <c r="T171" i="2" s="1"/>
  <c r="S172" i="2"/>
  <c r="T172" i="2" s="1"/>
  <c r="S173" i="2"/>
  <c r="T173" i="2" s="1"/>
  <c r="S174" i="2"/>
  <c r="T174" i="2" s="1"/>
  <c r="S175" i="2"/>
  <c r="T175" i="2" s="1"/>
  <c r="S176" i="2"/>
  <c r="T176" i="2" s="1"/>
  <c r="S177" i="2"/>
  <c r="T177" i="2" s="1"/>
  <c r="S178" i="2"/>
  <c r="T178" i="2" s="1"/>
  <c r="S179" i="2"/>
  <c r="T179" i="2" s="1"/>
  <c r="S180" i="2"/>
  <c r="T180" i="2" s="1"/>
  <c r="S181" i="2"/>
  <c r="T181" i="2" s="1"/>
  <c r="S182" i="2"/>
  <c r="T182" i="2" s="1"/>
  <c r="S183" i="2"/>
  <c r="T183" i="2" s="1"/>
  <c r="S184" i="2"/>
  <c r="T184" i="2" s="1"/>
  <c r="S185" i="2"/>
  <c r="T185" i="2" s="1"/>
  <c r="S186" i="2"/>
  <c r="T186" i="2" s="1"/>
  <c r="S187" i="2"/>
  <c r="T187" i="2" s="1"/>
  <c r="S188" i="2"/>
  <c r="T188" i="2" s="1"/>
  <c r="S189" i="2"/>
  <c r="T189" i="2" s="1"/>
  <c r="S190" i="2"/>
  <c r="T190" i="2" s="1"/>
  <c r="S191" i="2"/>
  <c r="T191" i="2" s="1"/>
  <c r="S192" i="2"/>
  <c r="T192" i="2" s="1"/>
  <c r="S193" i="2"/>
  <c r="T193" i="2" s="1"/>
  <c r="S194" i="2"/>
  <c r="T194" i="2" s="1"/>
  <c r="S195" i="2"/>
  <c r="T195" i="2" s="1"/>
  <c r="S196" i="2"/>
  <c r="T196" i="2" s="1"/>
  <c r="S197" i="2"/>
  <c r="T197" i="2" s="1"/>
  <c r="S198" i="2"/>
  <c r="T198" i="2" s="1"/>
  <c r="S199" i="2"/>
  <c r="T199" i="2" s="1"/>
  <c r="S200" i="2"/>
  <c r="T200" i="2" s="1"/>
  <c r="S202" i="2"/>
  <c r="T202" i="2" s="1"/>
  <c r="S203" i="2"/>
  <c r="T203" i="2" s="1"/>
  <c r="S204" i="2"/>
  <c r="T204" i="2" s="1"/>
  <c r="S205" i="2"/>
  <c r="T205" i="2" s="1"/>
  <c r="S206" i="2"/>
  <c r="T206" i="2" s="1"/>
  <c r="S207" i="2"/>
  <c r="T207" i="2" s="1"/>
  <c r="S208" i="2"/>
  <c r="T208" i="2" s="1"/>
  <c r="S209" i="2"/>
  <c r="T209" i="2" s="1"/>
  <c r="S210" i="2"/>
  <c r="T210" i="2" s="1"/>
  <c r="S211" i="2"/>
  <c r="T211" i="2" s="1"/>
  <c r="S212" i="2"/>
  <c r="T212" i="2" s="1"/>
  <c r="S213" i="2"/>
  <c r="T213" i="2" s="1"/>
  <c r="S214" i="2"/>
  <c r="T214" i="2" s="1"/>
  <c r="S215" i="2"/>
  <c r="T215" i="2" s="1"/>
  <c r="S216" i="2"/>
  <c r="T216" i="2" s="1"/>
  <c r="S217" i="2"/>
  <c r="T217" i="2" s="1"/>
  <c r="S218" i="2"/>
  <c r="T218" i="2" s="1"/>
  <c r="S219" i="2"/>
  <c r="T219" i="2" s="1"/>
  <c r="S220" i="2"/>
  <c r="T220" i="2" s="1"/>
  <c r="S221" i="2"/>
  <c r="T221" i="2" s="1"/>
  <c r="S222" i="2"/>
  <c r="T222" i="2" s="1"/>
  <c r="S223" i="2"/>
  <c r="T223" i="2" s="1"/>
  <c r="S224" i="2"/>
  <c r="T224" i="2" s="1"/>
  <c r="S225" i="2"/>
  <c r="T225" i="2" s="1"/>
  <c r="S226" i="2"/>
  <c r="T226" i="2" s="1"/>
  <c r="S227" i="2"/>
  <c r="T227" i="2" s="1"/>
  <c r="S228" i="2"/>
  <c r="T228" i="2" s="1"/>
  <c r="S229" i="2"/>
  <c r="T229" i="2" s="1"/>
  <c r="S231" i="2"/>
  <c r="T231" i="2" s="1"/>
  <c r="S232" i="2"/>
  <c r="T232" i="2" s="1"/>
  <c r="S233" i="2"/>
  <c r="T233" i="2" s="1"/>
  <c r="S234" i="2"/>
  <c r="T234" i="2" s="1"/>
  <c r="S235" i="2"/>
  <c r="T235" i="2" s="1"/>
  <c r="S236" i="2"/>
  <c r="T236" i="2" s="1"/>
  <c r="S237" i="2"/>
  <c r="T237" i="2" s="1"/>
  <c r="S238" i="2"/>
  <c r="T238" i="2" s="1"/>
  <c r="S239" i="2"/>
  <c r="T239" i="2" s="1"/>
  <c r="S240" i="2"/>
  <c r="T240" i="2" s="1"/>
  <c r="S241" i="2"/>
  <c r="T241" i="2" s="1"/>
  <c r="S242" i="2"/>
  <c r="T242" i="2" s="1"/>
  <c r="S243" i="2"/>
  <c r="T243" i="2" s="1"/>
  <c r="S244" i="2"/>
  <c r="T244" i="2" s="1"/>
  <c r="S245" i="2"/>
  <c r="T245" i="2" s="1"/>
  <c r="S246" i="2"/>
  <c r="T246" i="2" s="1"/>
  <c r="S247" i="2"/>
  <c r="T247" i="2" s="1"/>
  <c r="S248" i="2"/>
  <c r="T248" i="2" s="1"/>
  <c r="S249" i="2"/>
  <c r="T249" i="2" s="1"/>
  <c r="S250" i="2"/>
  <c r="T250" i="2" s="1"/>
  <c r="S251" i="2"/>
  <c r="T251" i="2" s="1"/>
  <c r="S252" i="2"/>
  <c r="T252" i="2" s="1"/>
  <c r="S253" i="2"/>
  <c r="T253" i="2" s="1"/>
  <c r="S254" i="2"/>
  <c r="T254" i="2" s="1"/>
  <c r="S255" i="2"/>
  <c r="T255" i="2" s="1"/>
  <c r="S256" i="2"/>
  <c r="T256" i="2" s="1"/>
  <c r="S257" i="2"/>
  <c r="T257" i="2" s="1"/>
  <c r="S258" i="2"/>
  <c r="T258" i="2" s="1"/>
  <c r="S259" i="2"/>
  <c r="T259" i="2" s="1"/>
  <c r="S260" i="2"/>
  <c r="T260" i="2" s="1"/>
  <c r="S261" i="2"/>
  <c r="T261" i="2" s="1"/>
  <c r="S262" i="2"/>
  <c r="T262" i="2" s="1"/>
  <c r="S263" i="2"/>
  <c r="T263" i="2" s="1"/>
  <c r="S264" i="2"/>
  <c r="T264" i="2" s="1"/>
  <c r="S265" i="2"/>
  <c r="T265" i="2" s="1"/>
  <c r="S266" i="2"/>
  <c r="T266" i="2" s="1"/>
  <c r="S267" i="2"/>
  <c r="T267" i="2" s="1"/>
  <c r="S268" i="2"/>
  <c r="T268" i="2" s="1"/>
  <c r="S269" i="2"/>
  <c r="T269" i="2" s="1"/>
  <c r="S270" i="2"/>
  <c r="T270" i="2" s="1"/>
  <c r="S271" i="2"/>
  <c r="T271" i="2" s="1"/>
  <c r="S272" i="2"/>
  <c r="T272" i="2" s="1"/>
  <c r="S273" i="2"/>
  <c r="T273" i="2" s="1"/>
  <c r="S274" i="2"/>
  <c r="T274" i="2" s="1"/>
  <c r="S275" i="2"/>
  <c r="T275" i="2" s="1"/>
  <c r="S276" i="2"/>
  <c r="T276" i="2" s="1"/>
  <c r="S277" i="2"/>
  <c r="T277" i="2" s="1"/>
  <c r="S278" i="2"/>
  <c r="T278" i="2" s="1"/>
  <c r="S279" i="2"/>
  <c r="T279" i="2" s="1"/>
  <c r="S280" i="2"/>
  <c r="T280" i="2" s="1"/>
  <c r="S281" i="2"/>
  <c r="T281" i="2" s="1"/>
  <c r="S282" i="2"/>
  <c r="T282" i="2" s="1"/>
  <c r="S283" i="2"/>
  <c r="T283" i="2" s="1"/>
  <c r="S284" i="2"/>
  <c r="T284" i="2" s="1"/>
  <c r="S285" i="2"/>
  <c r="T285" i="2" s="1"/>
  <c r="S286" i="2"/>
  <c r="T286" i="2" s="1"/>
  <c r="S287" i="2"/>
  <c r="T287" i="2" s="1"/>
  <c r="S288" i="2"/>
  <c r="T288" i="2" s="1"/>
  <c r="S289" i="2"/>
  <c r="T289" i="2" s="1"/>
  <c r="S290" i="2"/>
  <c r="T290" i="2" s="1"/>
  <c r="S291" i="2"/>
  <c r="T291" i="2" s="1"/>
  <c r="S292" i="2"/>
  <c r="T292" i="2" s="1"/>
  <c r="S293" i="2"/>
  <c r="T293" i="2" s="1"/>
  <c r="S294" i="2"/>
  <c r="T294" i="2" s="1"/>
  <c r="S295" i="2"/>
  <c r="T295" i="2" s="1"/>
  <c r="S296" i="2"/>
  <c r="T296" i="2" s="1"/>
  <c r="S297" i="2"/>
  <c r="T297" i="2" s="1"/>
  <c r="S298" i="2"/>
  <c r="T298" i="2" s="1"/>
  <c r="S299" i="2"/>
  <c r="T299" i="2" s="1"/>
  <c r="S300" i="2"/>
  <c r="T300" i="2" s="1"/>
  <c r="S301" i="2"/>
  <c r="T301" i="2" s="1"/>
  <c r="S302" i="2"/>
  <c r="T302" i="2" s="1"/>
  <c r="S303" i="2"/>
  <c r="T303" i="2" s="1"/>
  <c r="S304" i="2"/>
  <c r="T304" i="2" s="1"/>
  <c r="S305" i="2"/>
  <c r="T305" i="2" s="1"/>
  <c r="S306" i="2"/>
  <c r="T306" i="2" s="1"/>
  <c r="S307" i="2"/>
  <c r="T307" i="2" s="1"/>
  <c r="S308" i="2"/>
  <c r="T308" i="2" s="1"/>
  <c r="S309" i="2"/>
  <c r="T309" i="2" s="1"/>
  <c r="S310" i="2"/>
  <c r="T310" i="2" s="1"/>
  <c r="S311" i="2"/>
  <c r="T311" i="2" s="1"/>
  <c r="S312" i="2"/>
  <c r="T312" i="2" s="1"/>
  <c r="S313" i="2"/>
  <c r="T313" i="2" s="1"/>
  <c r="S314" i="2"/>
  <c r="T314" i="2" s="1"/>
  <c r="S315" i="2"/>
  <c r="T315" i="2" s="1"/>
  <c r="S316" i="2"/>
  <c r="T316" i="2" s="1"/>
  <c r="S317" i="2"/>
  <c r="T317" i="2" s="1"/>
  <c r="S318" i="2"/>
  <c r="T318" i="2" s="1"/>
  <c r="S319" i="2"/>
  <c r="T319" i="2" s="1"/>
  <c r="S3" i="2"/>
  <c r="T3" i="2" s="1"/>
  <c r="I10" i="7" l="1"/>
  <c r="K5" i="6"/>
  <c r="K6" i="6" s="1"/>
  <c r="K3" i="6"/>
  <c r="Z50" i="2" l="1"/>
  <c r="AA50" i="2" s="1"/>
  <c r="Z230" i="2"/>
  <c r="AA230" i="2" s="1"/>
  <c r="Q4" i="2"/>
  <c r="R4" i="2" s="1"/>
  <c r="Q5" i="2"/>
  <c r="R5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36" i="2"/>
  <c r="R36" i="2" s="1"/>
  <c r="Q37" i="2"/>
  <c r="R37" i="2" s="1"/>
  <c r="Q38" i="2"/>
  <c r="R38" i="2" s="1"/>
  <c r="Q39" i="2"/>
  <c r="R39" i="2" s="1"/>
  <c r="Q40" i="2"/>
  <c r="R40" i="2" s="1"/>
  <c r="Q41" i="2"/>
  <c r="R41" i="2" s="1"/>
  <c r="Q42" i="2"/>
  <c r="R42" i="2" s="1"/>
  <c r="Q43" i="2"/>
  <c r="R43" i="2" s="1"/>
  <c r="Q44" i="2"/>
  <c r="R44" i="2" s="1"/>
  <c r="Q45" i="2"/>
  <c r="R45" i="2" s="1"/>
  <c r="Q46" i="2"/>
  <c r="R46" i="2" s="1"/>
  <c r="Q47" i="2"/>
  <c r="R47" i="2" s="1"/>
  <c r="Q48" i="2"/>
  <c r="R48" i="2" s="1"/>
  <c r="Q49" i="2"/>
  <c r="R49" i="2" s="1"/>
  <c r="Q51" i="2"/>
  <c r="R51" i="2" s="1"/>
  <c r="Q52" i="2"/>
  <c r="R52" i="2" s="1"/>
  <c r="Q53" i="2"/>
  <c r="R53" i="2" s="1"/>
  <c r="Q54" i="2"/>
  <c r="R54" i="2" s="1"/>
  <c r="Q55" i="2"/>
  <c r="R55" i="2" s="1"/>
  <c r="Q56" i="2"/>
  <c r="R56" i="2" s="1"/>
  <c r="Q57" i="2"/>
  <c r="R57" i="2" s="1"/>
  <c r="Q58" i="2"/>
  <c r="R58" i="2" s="1"/>
  <c r="Q59" i="2"/>
  <c r="R59" i="2" s="1"/>
  <c r="Q60" i="2"/>
  <c r="R60" i="2" s="1"/>
  <c r="Q61" i="2"/>
  <c r="R61" i="2" s="1"/>
  <c r="Q62" i="2"/>
  <c r="R62" i="2" s="1"/>
  <c r="Q63" i="2"/>
  <c r="R63" i="2" s="1"/>
  <c r="Q64" i="2"/>
  <c r="R64" i="2" s="1"/>
  <c r="Q65" i="2"/>
  <c r="R65" i="2" s="1"/>
  <c r="Q66" i="2"/>
  <c r="R66" i="2" s="1"/>
  <c r="Q67" i="2"/>
  <c r="R67" i="2" s="1"/>
  <c r="Q68" i="2"/>
  <c r="R68" i="2" s="1"/>
  <c r="Q69" i="2"/>
  <c r="R69" i="2" s="1"/>
  <c r="Q70" i="2"/>
  <c r="R70" i="2" s="1"/>
  <c r="Q71" i="2"/>
  <c r="R71" i="2" s="1"/>
  <c r="Q72" i="2"/>
  <c r="R72" i="2" s="1"/>
  <c r="Q73" i="2"/>
  <c r="R73" i="2" s="1"/>
  <c r="Q74" i="2"/>
  <c r="R74" i="2" s="1"/>
  <c r="Q75" i="2"/>
  <c r="R75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Q82" i="2"/>
  <c r="R82" i="2" s="1"/>
  <c r="Q83" i="2"/>
  <c r="R83" i="2" s="1"/>
  <c r="Q84" i="2"/>
  <c r="R84" i="2" s="1"/>
  <c r="Q85" i="2"/>
  <c r="R85" i="2" s="1"/>
  <c r="Q86" i="2"/>
  <c r="R86" i="2" s="1"/>
  <c r="Q87" i="2"/>
  <c r="R87" i="2" s="1"/>
  <c r="Q88" i="2"/>
  <c r="R88" i="2" s="1"/>
  <c r="Q89" i="2"/>
  <c r="R89" i="2" s="1"/>
  <c r="Q90" i="2"/>
  <c r="R90" i="2" s="1"/>
  <c r="Q91" i="2"/>
  <c r="R91" i="2" s="1"/>
  <c r="Q92" i="2"/>
  <c r="R92" i="2" s="1"/>
  <c r="Q93" i="2"/>
  <c r="R93" i="2" s="1"/>
  <c r="Q94" i="2"/>
  <c r="R94" i="2" s="1"/>
  <c r="Q95" i="2"/>
  <c r="R95" i="2" s="1"/>
  <c r="Q96" i="2"/>
  <c r="R96" i="2" s="1"/>
  <c r="Q97" i="2"/>
  <c r="R97" i="2" s="1"/>
  <c r="Q98" i="2"/>
  <c r="R98" i="2" s="1"/>
  <c r="Q99" i="2"/>
  <c r="R99" i="2" s="1"/>
  <c r="Q100" i="2"/>
  <c r="R100" i="2" s="1"/>
  <c r="Q101" i="2"/>
  <c r="R101" i="2" s="1"/>
  <c r="Q102" i="2"/>
  <c r="R102" i="2" s="1"/>
  <c r="Q103" i="2"/>
  <c r="R103" i="2" s="1"/>
  <c r="Q104" i="2"/>
  <c r="R104" i="2" s="1"/>
  <c r="Q105" i="2"/>
  <c r="R105" i="2" s="1"/>
  <c r="Q106" i="2"/>
  <c r="R106" i="2" s="1"/>
  <c r="Q107" i="2"/>
  <c r="R107" i="2" s="1"/>
  <c r="Q108" i="2"/>
  <c r="R108" i="2" s="1"/>
  <c r="Q109" i="2"/>
  <c r="R109" i="2" s="1"/>
  <c r="Q110" i="2"/>
  <c r="R110" i="2" s="1"/>
  <c r="Q111" i="2"/>
  <c r="R111" i="2" s="1"/>
  <c r="Q112" i="2"/>
  <c r="R112" i="2" s="1"/>
  <c r="Q113" i="2"/>
  <c r="R113" i="2" s="1"/>
  <c r="Q114" i="2"/>
  <c r="R114" i="2" s="1"/>
  <c r="Q115" i="2"/>
  <c r="R115" i="2" s="1"/>
  <c r="Q116" i="2"/>
  <c r="R116" i="2" s="1"/>
  <c r="Q117" i="2"/>
  <c r="R117" i="2" s="1"/>
  <c r="Q118" i="2"/>
  <c r="R118" i="2" s="1"/>
  <c r="Q119" i="2"/>
  <c r="R119" i="2" s="1"/>
  <c r="Q120" i="2"/>
  <c r="R120" i="2" s="1"/>
  <c r="Q121" i="2"/>
  <c r="R121" i="2" s="1"/>
  <c r="Q122" i="2"/>
  <c r="R122" i="2" s="1"/>
  <c r="Q123" i="2"/>
  <c r="R123" i="2" s="1"/>
  <c r="Q124" i="2"/>
  <c r="R124" i="2" s="1"/>
  <c r="Q125" i="2"/>
  <c r="R125" i="2" s="1"/>
  <c r="Q126" i="2"/>
  <c r="R126" i="2" s="1"/>
  <c r="Q127" i="2"/>
  <c r="R127" i="2" s="1"/>
  <c r="Q128" i="2"/>
  <c r="R128" i="2" s="1"/>
  <c r="Q129" i="2"/>
  <c r="R129" i="2" s="1"/>
  <c r="Q130" i="2"/>
  <c r="R130" i="2" s="1"/>
  <c r="Q131" i="2"/>
  <c r="R131" i="2" s="1"/>
  <c r="Q132" i="2"/>
  <c r="R132" i="2" s="1"/>
  <c r="Q133" i="2"/>
  <c r="R133" i="2" s="1"/>
  <c r="Q134" i="2"/>
  <c r="R134" i="2" s="1"/>
  <c r="Q135" i="2"/>
  <c r="R135" i="2" s="1"/>
  <c r="Q136" i="2"/>
  <c r="R136" i="2" s="1"/>
  <c r="Q137" i="2"/>
  <c r="R137" i="2" s="1"/>
  <c r="Q138" i="2"/>
  <c r="R138" i="2" s="1"/>
  <c r="Q139" i="2"/>
  <c r="R139" i="2" s="1"/>
  <c r="Q140" i="2"/>
  <c r="R140" i="2" s="1"/>
  <c r="Q141" i="2"/>
  <c r="R141" i="2" s="1"/>
  <c r="Q142" i="2"/>
  <c r="R142" i="2" s="1"/>
  <c r="Q143" i="2"/>
  <c r="R143" i="2" s="1"/>
  <c r="Q144" i="2"/>
  <c r="R144" i="2" s="1"/>
  <c r="Q145" i="2"/>
  <c r="R145" i="2" s="1"/>
  <c r="Q146" i="2"/>
  <c r="R146" i="2" s="1"/>
  <c r="Q147" i="2"/>
  <c r="R147" i="2" s="1"/>
  <c r="Q148" i="2"/>
  <c r="R148" i="2" s="1"/>
  <c r="Q149" i="2"/>
  <c r="R149" i="2" s="1"/>
  <c r="Q150" i="2"/>
  <c r="R150" i="2" s="1"/>
  <c r="Q151" i="2"/>
  <c r="R151" i="2" s="1"/>
  <c r="Q152" i="2"/>
  <c r="R152" i="2" s="1"/>
  <c r="Q153" i="2"/>
  <c r="R153" i="2" s="1"/>
  <c r="Q154" i="2"/>
  <c r="R154" i="2" s="1"/>
  <c r="Q155" i="2"/>
  <c r="R155" i="2" s="1"/>
  <c r="Q156" i="2"/>
  <c r="R156" i="2" s="1"/>
  <c r="Q157" i="2"/>
  <c r="R157" i="2" s="1"/>
  <c r="Q158" i="2"/>
  <c r="R158" i="2" s="1"/>
  <c r="Q159" i="2"/>
  <c r="R159" i="2" s="1"/>
  <c r="Q160" i="2"/>
  <c r="R160" i="2" s="1"/>
  <c r="Q161" i="2"/>
  <c r="R161" i="2" s="1"/>
  <c r="Q162" i="2"/>
  <c r="R162" i="2" s="1"/>
  <c r="Q163" i="2"/>
  <c r="R163" i="2" s="1"/>
  <c r="Q164" i="2"/>
  <c r="R164" i="2" s="1"/>
  <c r="Q165" i="2"/>
  <c r="R165" i="2" s="1"/>
  <c r="Q166" i="2"/>
  <c r="R166" i="2" s="1"/>
  <c r="Q167" i="2"/>
  <c r="R167" i="2" s="1"/>
  <c r="Q168" i="2"/>
  <c r="R168" i="2" s="1"/>
  <c r="Q169" i="2"/>
  <c r="R169" i="2" s="1"/>
  <c r="Q170" i="2"/>
  <c r="R170" i="2" s="1"/>
  <c r="Q171" i="2"/>
  <c r="R171" i="2" s="1"/>
  <c r="Q172" i="2"/>
  <c r="R172" i="2" s="1"/>
  <c r="Q173" i="2"/>
  <c r="R173" i="2" s="1"/>
  <c r="Q174" i="2"/>
  <c r="R174" i="2" s="1"/>
  <c r="Q175" i="2"/>
  <c r="R175" i="2" s="1"/>
  <c r="Q176" i="2"/>
  <c r="R176" i="2" s="1"/>
  <c r="Q177" i="2"/>
  <c r="R177" i="2" s="1"/>
  <c r="Q178" i="2"/>
  <c r="R178" i="2" s="1"/>
  <c r="Q179" i="2"/>
  <c r="R179" i="2" s="1"/>
  <c r="Q180" i="2"/>
  <c r="R180" i="2" s="1"/>
  <c r="Q181" i="2"/>
  <c r="R181" i="2" s="1"/>
  <c r="Q182" i="2"/>
  <c r="R182" i="2" s="1"/>
  <c r="Q183" i="2"/>
  <c r="R183" i="2" s="1"/>
  <c r="Q184" i="2"/>
  <c r="R184" i="2" s="1"/>
  <c r="Q185" i="2"/>
  <c r="R185" i="2" s="1"/>
  <c r="Q186" i="2"/>
  <c r="R186" i="2" s="1"/>
  <c r="Q187" i="2"/>
  <c r="R187" i="2" s="1"/>
  <c r="Q188" i="2"/>
  <c r="R188" i="2" s="1"/>
  <c r="Q189" i="2"/>
  <c r="R189" i="2" s="1"/>
  <c r="Q190" i="2"/>
  <c r="R190" i="2" s="1"/>
  <c r="Q191" i="2"/>
  <c r="R191" i="2" s="1"/>
  <c r="Q192" i="2"/>
  <c r="R192" i="2" s="1"/>
  <c r="Q193" i="2"/>
  <c r="R193" i="2" s="1"/>
  <c r="Q194" i="2"/>
  <c r="R194" i="2" s="1"/>
  <c r="Q195" i="2"/>
  <c r="R195" i="2" s="1"/>
  <c r="Q196" i="2"/>
  <c r="R196" i="2" s="1"/>
  <c r="Q197" i="2"/>
  <c r="R197" i="2" s="1"/>
  <c r="Q198" i="2"/>
  <c r="R198" i="2" s="1"/>
  <c r="Q199" i="2"/>
  <c r="R199" i="2" s="1"/>
  <c r="Q200" i="2"/>
  <c r="R200" i="2" s="1"/>
  <c r="Q202" i="2"/>
  <c r="R202" i="2" s="1"/>
  <c r="Q203" i="2"/>
  <c r="R203" i="2" s="1"/>
  <c r="Q204" i="2"/>
  <c r="R204" i="2" s="1"/>
  <c r="Q205" i="2"/>
  <c r="R205" i="2" s="1"/>
  <c r="Q206" i="2"/>
  <c r="R206" i="2" s="1"/>
  <c r="Q207" i="2"/>
  <c r="R207" i="2" s="1"/>
  <c r="Q208" i="2"/>
  <c r="R208" i="2" s="1"/>
  <c r="Q209" i="2"/>
  <c r="R209" i="2" s="1"/>
  <c r="Q210" i="2"/>
  <c r="R210" i="2" s="1"/>
  <c r="Q211" i="2"/>
  <c r="R211" i="2" s="1"/>
  <c r="Q212" i="2"/>
  <c r="R212" i="2" s="1"/>
  <c r="Q213" i="2"/>
  <c r="R213" i="2" s="1"/>
  <c r="Q214" i="2"/>
  <c r="R214" i="2" s="1"/>
  <c r="Q215" i="2"/>
  <c r="R215" i="2" s="1"/>
  <c r="Q216" i="2"/>
  <c r="R216" i="2" s="1"/>
  <c r="Q217" i="2"/>
  <c r="R217" i="2" s="1"/>
  <c r="Q218" i="2"/>
  <c r="R218" i="2" s="1"/>
  <c r="Q219" i="2"/>
  <c r="R219" i="2" s="1"/>
  <c r="Q220" i="2"/>
  <c r="R220" i="2" s="1"/>
  <c r="Q221" i="2"/>
  <c r="R221" i="2" s="1"/>
  <c r="Q222" i="2"/>
  <c r="R222" i="2" s="1"/>
  <c r="Q223" i="2"/>
  <c r="R223" i="2" s="1"/>
  <c r="Q224" i="2"/>
  <c r="R224" i="2" s="1"/>
  <c r="Q225" i="2"/>
  <c r="R225" i="2" s="1"/>
  <c r="Q226" i="2"/>
  <c r="R226" i="2" s="1"/>
  <c r="Q227" i="2"/>
  <c r="R227" i="2" s="1"/>
  <c r="Q228" i="2"/>
  <c r="R228" i="2" s="1"/>
  <c r="Q229" i="2"/>
  <c r="R229" i="2" s="1"/>
  <c r="Q231" i="2"/>
  <c r="R231" i="2" s="1"/>
  <c r="Q232" i="2"/>
  <c r="R232" i="2" s="1"/>
  <c r="Q233" i="2"/>
  <c r="R233" i="2" s="1"/>
  <c r="Q234" i="2"/>
  <c r="R234" i="2" s="1"/>
  <c r="Q235" i="2"/>
  <c r="R235" i="2" s="1"/>
  <c r="Q236" i="2"/>
  <c r="R236" i="2" s="1"/>
  <c r="Q237" i="2"/>
  <c r="R237" i="2" s="1"/>
  <c r="Q238" i="2"/>
  <c r="R238" i="2" s="1"/>
  <c r="Q239" i="2"/>
  <c r="R239" i="2" s="1"/>
  <c r="Q240" i="2"/>
  <c r="R240" i="2" s="1"/>
  <c r="Q241" i="2"/>
  <c r="R241" i="2" s="1"/>
  <c r="Q242" i="2"/>
  <c r="R242" i="2" s="1"/>
  <c r="Q243" i="2"/>
  <c r="R243" i="2" s="1"/>
  <c r="Q244" i="2"/>
  <c r="R244" i="2" s="1"/>
  <c r="Q245" i="2"/>
  <c r="R245" i="2" s="1"/>
  <c r="Q246" i="2"/>
  <c r="R246" i="2" s="1"/>
  <c r="Q247" i="2"/>
  <c r="R247" i="2" s="1"/>
  <c r="Q248" i="2"/>
  <c r="R248" i="2" s="1"/>
  <c r="Q249" i="2"/>
  <c r="R249" i="2" s="1"/>
  <c r="Q250" i="2"/>
  <c r="R250" i="2" s="1"/>
  <c r="Q251" i="2"/>
  <c r="R251" i="2" s="1"/>
  <c r="Q252" i="2"/>
  <c r="R252" i="2" s="1"/>
  <c r="Q253" i="2"/>
  <c r="R253" i="2" s="1"/>
  <c r="Q254" i="2"/>
  <c r="R254" i="2" s="1"/>
  <c r="Q255" i="2"/>
  <c r="R255" i="2" s="1"/>
  <c r="Q256" i="2"/>
  <c r="R256" i="2" s="1"/>
  <c r="Q257" i="2"/>
  <c r="R257" i="2" s="1"/>
  <c r="Q258" i="2"/>
  <c r="R258" i="2" s="1"/>
  <c r="Q259" i="2"/>
  <c r="R259" i="2" s="1"/>
  <c r="Q260" i="2"/>
  <c r="R260" i="2" s="1"/>
  <c r="Q261" i="2"/>
  <c r="R261" i="2" s="1"/>
  <c r="Q262" i="2"/>
  <c r="R262" i="2" s="1"/>
  <c r="Q263" i="2"/>
  <c r="R263" i="2" s="1"/>
  <c r="Q264" i="2"/>
  <c r="R264" i="2" s="1"/>
  <c r="Q265" i="2"/>
  <c r="R265" i="2" s="1"/>
  <c r="Q266" i="2"/>
  <c r="R266" i="2" s="1"/>
  <c r="Q267" i="2"/>
  <c r="R267" i="2" s="1"/>
  <c r="Q268" i="2"/>
  <c r="R268" i="2" s="1"/>
  <c r="Q269" i="2"/>
  <c r="R269" i="2" s="1"/>
  <c r="Q270" i="2"/>
  <c r="R270" i="2" s="1"/>
  <c r="Q271" i="2"/>
  <c r="R271" i="2" s="1"/>
  <c r="Q272" i="2"/>
  <c r="R272" i="2" s="1"/>
  <c r="Q273" i="2"/>
  <c r="R273" i="2" s="1"/>
  <c r="Q274" i="2"/>
  <c r="R274" i="2" s="1"/>
  <c r="Q275" i="2"/>
  <c r="R275" i="2" s="1"/>
  <c r="Q276" i="2"/>
  <c r="R276" i="2" s="1"/>
  <c r="Q277" i="2"/>
  <c r="R277" i="2" s="1"/>
  <c r="Q278" i="2"/>
  <c r="R278" i="2" s="1"/>
  <c r="Q279" i="2"/>
  <c r="R279" i="2" s="1"/>
  <c r="Q280" i="2"/>
  <c r="R280" i="2" s="1"/>
  <c r="Q281" i="2"/>
  <c r="R281" i="2" s="1"/>
  <c r="Q282" i="2"/>
  <c r="R282" i="2" s="1"/>
  <c r="Q283" i="2"/>
  <c r="R283" i="2" s="1"/>
  <c r="Q284" i="2"/>
  <c r="R284" i="2" s="1"/>
  <c r="Q285" i="2"/>
  <c r="R285" i="2" s="1"/>
  <c r="Q286" i="2"/>
  <c r="R286" i="2" s="1"/>
  <c r="Q287" i="2"/>
  <c r="R287" i="2" s="1"/>
  <c r="Q288" i="2"/>
  <c r="R288" i="2" s="1"/>
  <c r="Q289" i="2"/>
  <c r="R289" i="2" s="1"/>
  <c r="Q290" i="2"/>
  <c r="R290" i="2" s="1"/>
  <c r="Q291" i="2"/>
  <c r="R291" i="2" s="1"/>
  <c r="Q292" i="2"/>
  <c r="R292" i="2" s="1"/>
  <c r="Q293" i="2"/>
  <c r="R293" i="2" s="1"/>
  <c r="Q294" i="2"/>
  <c r="R294" i="2" s="1"/>
  <c r="Q295" i="2"/>
  <c r="R295" i="2" s="1"/>
  <c r="Q296" i="2"/>
  <c r="R296" i="2" s="1"/>
  <c r="Q297" i="2"/>
  <c r="R297" i="2" s="1"/>
  <c r="Q298" i="2"/>
  <c r="R298" i="2" s="1"/>
  <c r="Q299" i="2"/>
  <c r="R299" i="2" s="1"/>
  <c r="Q300" i="2"/>
  <c r="R300" i="2" s="1"/>
  <c r="Q301" i="2"/>
  <c r="R301" i="2" s="1"/>
  <c r="Q302" i="2"/>
  <c r="R302" i="2" s="1"/>
  <c r="Q303" i="2"/>
  <c r="R303" i="2" s="1"/>
  <c r="Q304" i="2"/>
  <c r="R304" i="2" s="1"/>
  <c r="Q305" i="2"/>
  <c r="R305" i="2" s="1"/>
  <c r="Q306" i="2"/>
  <c r="R306" i="2" s="1"/>
  <c r="Q307" i="2"/>
  <c r="R307" i="2" s="1"/>
  <c r="Q308" i="2"/>
  <c r="R308" i="2" s="1"/>
  <c r="Q309" i="2"/>
  <c r="R309" i="2" s="1"/>
  <c r="Q310" i="2"/>
  <c r="R310" i="2" s="1"/>
  <c r="Q311" i="2"/>
  <c r="R311" i="2" s="1"/>
  <c r="Q312" i="2"/>
  <c r="R312" i="2" s="1"/>
  <c r="Q313" i="2"/>
  <c r="R313" i="2" s="1"/>
  <c r="Q314" i="2"/>
  <c r="R314" i="2" s="1"/>
  <c r="Q315" i="2"/>
  <c r="R315" i="2" s="1"/>
  <c r="Q316" i="2"/>
  <c r="R316" i="2" s="1"/>
  <c r="Q317" i="2"/>
  <c r="R317" i="2" s="1"/>
  <c r="Q318" i="2"/>
  <c r="R318" i="2" s="1"/>
  <c r="Q319" i="2"/>
  <c r="R319" i="2" s="1"/>
  <c r="Q3" i="2"/>
  <c r="R3" i="2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" i="2"/>
  <c r="AF230" i="2" l="1"/>
  <c r="AF50" i="2"/>
  <c r="D4" i="2"/>
  <c r="E4" i="2" s="1"/>
  <c r="N4" i="2" s="1"/>
  <c r="D5" i="2"/>
  <c r="E5" i="2" s="1"/>
  <c r="N5" i="2" s="1"/>
  <c r="D6" i="2"/>
  <c r="E6" i="2" s="1"/>
  <c r="P6" i="2" s="1"/>
  <c r="D7" i="2"/>
  <c r="E7" i="2" s="1"/>
  <c r="P7" i="2" s="1"/>
  <c r="D8" i="2"/>
  <c r="E8" i="2" s="1"/>
  <c r="P8" i="2" s="1"/>
  <c r="D9" i="2"/>
  <c r="E9" i="2" s="1"/>
  <c r="P9" i="2" s="1"/>
  <c r="D10" i="2"/>
  <c r="D11" i="2"/>
  <c r="E11" i="2" s="1"/>
  <c r="N11" i="2" s="1"/>
  <c r="D12" i="2"/>
  <c r="D13" i="2"/>
  <c r="E13" i="2" s="1"/>
  <c r="N13" i="2" s="1"/>
  <c r="D14" i="2"/>
  <c r="E14" i="2" s="1"/>
  <c r="P14" i="2" s="1"/>
  <c r="D15" i="2"/>
  <c r="E15" i="2" s="1"/>
  <c r="P15" i="2" s="1"/>
  <c r="D16" i="2"/>
  <c r="E16" i="2" s="1"/>
  <c r="N16" i="2" s="1"/>
  <c r="D17" i="2"/>
  <c r="D18" i="2"/>
  <c r="E18" i="2" s="1"/>
  <c r="N18" i="2" s="1"/>
  <c r="D19" i="2"/>
  <c r="E19" i="2" s="1"/>
  <c r="N19" i="2" s="1"/>
  <c r="D20" i="2"/>
  <c r="D21" i="2"/>
  <c r="E21" i="2" s="1"/>
  <c r="N21" i="2" s="1"/>
  <c r="D22" i="2"/>
  <c r="E23" i="2"/>
  <c r="N23" i="2" s="1"/>
  <c r="D24" i="2"/>
  <c r="D25" i="2"/>
  <c r="E25" i="2" s="1"/>
  <c r="N25" i="2" s="1"/>
  <c r="D26" i="2"/>
  <c r="E26" i="2" s="1"/>
  <c r="N26" i="2" s="1"/>
  <c r="D27" i="2"/>
  <c r="E27" i="2" s="1"/>
  <c r="N27" i="2" s="1"/>
  <c r="D28" i="2"/>
  <c r="E28" i="2" s="1"/>
  <c r="N28" i="2" s="1"/>
  <c r="D29" i="2"/>
  <c r="D30" i="2"/>
  <c r="E30" i="2" s="1"/>
  <c r="N30" i="2" s="1"/>
  <c r="E31" i="2"/>
  <c r="N31" i="2" s="1"/>
  <c r="D32" i="2"/>
  <c r="D33" i="2"/>
  <c r="E33" i="2" s="1"/>
  <c r="N33" i="2" s="1"/>
  <c r="D34" i="2"/>
  <c r="E34" i="2" s="1"/>
  <c r="N34" i="2" s="1"/>
  <c r="D35" i="2"/>
  <c r="E35" i="2" s="1"/>
  <c r="N35" i="2" s="1"/>
  <c r="D36" i="2"/>
  <c r="E36" i="2" s="1"/>
  <c r="N36" i="2" s="1"/>
  <c r="D37" i="2"/>
  <c r="E37" i="2" s="1"/>
  <c r="N37" i="2" s="1"/>
  <c r="D38" i="2"/>
  <c r="E38" i="2" s="1"/>
  <c r="N38" i="2" s="1"/>
  <c r="D39" i="2"/>
  <c r="E39" i="2" s="1"/>
  <c r="P39" i="2" s="1"/>
  <c r="D40" i="2"/>
  <c r="E40" i="2" s="1"/>
  <c r="N40" i="2" s="1"/>
  <c r="E41" i="2"/>
  <c r="N41" i="2" s="1"/>
  <c r="D42" i="2"/>
  <c r="E42" i="2" s="1"/>
  <c r="N42" i="2" s="1"/>
  <c r="D43" i="2"/>
  <c r="E43" i="2" s="1"/>
  <c r="N43" i="2" s="1"/>
  <c r="D44" i="2"/>
  <c r="E44" i="2" s="1"/>
  <c r="N44" i="2" s="1"/>
  <c r="D45" i="2"/>
  <c r="E45" i="2" s="1"/>
  <c r="N45" i="2" s="1"/>
  <c r="D46" i="2"/>
  <c r="D47" i="2"/>
  <c r="E47" i="2" s="1"/>
  <c r="P47" i="2" s="1"/>
  <c r="D48" i="2"/>
  <c r="E48" i="2" s="1"/>
  <c r="P48" i="2" s="1"/>
  <c r="D49" i="2"/>
  <c r="E49" i="2" s="1"/>
  <c r="P49" i="2" s="1"/>
  <c r="D51" i="2"/>
  <c r="E51" i="2" s="1"/>
  <c r="P51" i="2" s="1"/>
  <c r="D52" i="2"/>
  <c r="E52" i="2" s="1"/>
  <c r="P52" i="2" s="1"/>
  <c r="D53" i="2"/>
  <c r="E53" i="2" s="1"/>
  <c r="N53" i="2" s="1"/>
  <c r="D54" i="2"/>
  <c r="E54" i="2" s="1"/>
  <c r="P54" i="2" s="1"/>
  <c r="D55" i="2"/>
  <c r="E55" i="2" s="1"/>
  <c r="N55" i="2" s="1"/>
  <c r="D56" i="2"/>
  <c r="E56" i="2" s="1"/>
  <c r="P56" i="2" s="1"/>
  <c r="D57" i="2"/>
  <c r="D58" i="2"/>
  <c r="E58" i="2" s="1"/>
  <c r="P58" i="2" s="1"/>
  <c r="D59" i="2"/>
  <c r="E59" i="2" s="1"/>
  <c r="P59" i="2" s="1"/>
  <c r="D60" i="2"/>
  <c r="D61" i="2"/>
  <c r="E61" i="2" s="1"/>
  <c r="P61" i="2" s="1"/>
  <c r="D62" i="2"/>
  <c r="D63" i="2"/>
  <c r="E63" i="2" s="1"/>
  <c r="P63" i="2" s="1"/>
  <c r="D64" i="2"/>
  <c r="D65" i="2"/>
  <c r="E65" i="2" s="1"/>
  <c r="N65" i="2" s="1"/>
  <c r="D66" i="2"/>
  <c r="E66" i="2" s="1"/>
  <c r="P66" i="2" s="1"/>
  <c r="D67" i="2"/>
  <c r="E67" i="2" s="1"/>
  <c r="P67" i="2" s="1"/>
  <c r="D68" i="2"/>
  <c r="E68" i="2" s="1"/>
  <c r="P68" i="2" s="1"/>
  <c r="D69" i="2"/>
  <c r="E69" i="2" s="1"/>
  <c r="N69" i="2" s="1"/>
  <c r="D70" i="2"/>
  <c r="E70" i="2" s="1"/>
  <c r="N70" i="2" s="1"/>
  <c r="D71" i="2"/>
  <c r="E71" i="2" s="1"/>
  <c r="P71" i="2" s="1"/>
  <c r="D72" i="2"/>
  <c r="E72" i="2" s="1"/>
  <c r="P72" i="2" s="1"/>
  <c r="D73" i="2"/>
  <c r="E73" i="2" s="1"/>
  <c r="N73" i="2" s="1"/>
  <c r="D74" i="2"/>
  <c r="E74" i="2" s="1"/>
  <c r="P74" i="2" s="1"/>
  <c r="D75" i="2"/>
  <c r="E75" i="2" s="1"/>
  <c r="P75" i="2" s="1"/>
  <c r="D76" i="2"/>
  <c r="E76" i="2" s="1"/>
  <c r="N76" i="2" s="1"/>
  <c r="D77" i="2"/>
  <c r="E77" i="2" s="1"/>
  <c r="N77" i="2" s="1"/>
  <c r="D78" i="2"/>
  <c r="D79" i="2"/>
  <c r="E79" i="2" s="1"/>
  <c r="N79" i="2" s="1"/>
  <c r="D80" i="2"/>
  <c r="E80" i="2" s="1"/>
  <c r="P80" i="2" s="1"/>
  <c r="D81" i="2"/>
  <c r="D82" i="2"/>
  <c r="E82" i="2" s="1"/>
  <c r="P82" i="2" s="1"/>
  <c r="D83" i="2"/>
  <c r="E83" i="2" s="1"/>
  <c r="N83" i="2" s="1"/>
  <c r="D84" i="2"/>
  <c r="D85" i="2"/>
  <c r="E85" i="2" s="1"/>
  <c r="N85" i="2" s="1"/>
  <c r="D86" i="2"/>
  <c r="E86" i="2" s="1"/>
  <c r="N86" i="2" s="1"/>
  <c r="D87" i="2"/>
  <c r="D88" i="2"/>
  <c r="E88" i="2" s="1"/>
  <c r="N88" i="2" s="1"/>
  <c r="D89" i="2"/>
  <c r="D90" i="2"/>
  <c r="E90" i="2" s="1"/>
  <c r="N90" i="2" s="1"/>
  <c r="D91" i="2"/>
  <c r="E91" i="2" s="1"/>
  <c r="N91" i="2" s="1"/>
  <c r="D92" i="2"/>
  <c r="E92" i="2" s="1"/>
  <c r="N92" i="2" s="1"/>
  <c r="D93" i="2"/>
  <c r="E93" i="2" s="1"/>
  <c r="N93" i="2" s="1"/>
  <c r="D94" i="2"/>
  <c r="E94" i="2" s="1"/>
  <c r="N94" i="2" s="1"/>
  <c r="D95" i="2"/>
  <c r="E95" i="2" s="1"/>
  <c r="N95" i="2" s="1"/>
  <c r="D96" i="2"/>
  <c r="D97" i="2"/>
  <c r="E97" i="2" s="1"/>
  <c r="N97" i="2" s="1"/>
  <c r="D98" i="2"/>
  <c r="E98" i="2" s="1"/>
  <c r="N98" i="2" s="1"/>
  <c r="D99" i="2"/>
  <c r="D100" i="2"/>
  <c r="D101" i="2"/>
  <c r="E101" i="2" s="1"/>
  <c r="N101" i="2" s="1"/>
  <c r="D102" i="2"/>
  <c r="E102" i="2" s="1"/>
  <c r="N102" i="2" s="1"/>
  <c r="E103" i="2"/>
  <c r="N103" i="2" s="1"/>
  <c r="D104" i="2"/>
  <c r="E104" i="2" s="1"/>
  <c r="P104" i="2" s="1"/>
  <c r="D105" i="2"/>
  <c r="E105" i="2" s="1"/>
  <c r="P105" i="2" s="1"/>
  <c r="D106" i="2"/>
  <c r="D107" i="2"/>
  <c r="E107" i="2" s="1"/>
  <c r="N107" i="2" s="1"/>
  <c r="D108" i="2"/>
  <c r="E108" i="2" s="1"/>
  <c r="N108" i="2" s="1"/>
  <c r="D109" i="2"/>
  <c r="E109" i="2" s="1"/>
  <c r="N109" i="2" s="1"/>
  <c r="D110" i="2"/>
  <c r="E110" i="2" s="1"/>
  <c r="P110" i="2" s="1"/>
  <c r="D111" i="2"/>
  <c r="D112" i="2"/>
  <c r="E112" i="2" s="1"/>
  <c r="P112" i="2" s="1"/>
  <c r="D113" i="2"/>
  <c r="E113" i="2" s="1"/>
  <c r="P113" i="2" s="1"/>
  <c r="D114" i="2"/>
  <c r="E114" i="2" s="1"/>
  <c r="P114" i="2" s="1"/>
  <c r="D115" i="2"/>
  <c r="E115" i="2" s="1"/>
  <c r="P115" i="2" s="1"/>
  <c r="D116" i="2"/>
  <c r="D117" i="2"/>
  <c r="D118" i="2"/>
  <c r="E118" i="2" s="1"/>
  <c r="D119" i="2"/>
  <c r="E119" i="2" s="1"/>
  <c r="P119" i="2" s="1"/>
  <c r="D120" i="2"/>
  <c r="D121" i="2"/>
  <c r="D122" i="2"/>
  <c r="D123" i="2"/>
  <c r="D124" i="2"/>
  <c r="D125" i="2"/>
  <c r="D126" i="2"/>
  <c r="E126" i="2" s="1"/>
  <c r="P126" i="2" s="1"/>
  <c r="D127" i="2"/>
  <c r="E127" i="2" s="1"/>
  <c r="P127" i="2" s="1"/>
  <c r="D128" i="2"/>
  <c r="E128" i="2" s="1"/>
  <c r="N128" i="2" s="1"/>
  <c r="D129" i="2"/>
  <c r="E129" i="2" s="1"/>
  <c r="P129" i="2" s="1"/>
  <c r="D130" i="2"/>
  <c r="E130" i="2" s="1"/>
  <c r="P130" i="2" s="1"/>
  <c r="D131" i="2"/>
  <c r="D132" i="2"/>
  <c r="E132" i="2" s="1"/>
  <c r="N132" i="2" s="1"/>
  <c r="D133" i="2"/>
  <c r="D134" i="2"/>
  <c r="E134" i="2" s="1"/>
  <c r="P134" i="2" s="1"/>
  <c r="D135" i="2"/>
  <c r="D136" i="2"/>
  <c r="E136" i="2" s="1"/>
  <c r="P136" i="2" s="1"/>
  <c r="D137" i="2"/>
  <c r="E137" i="2" s="1"/>
  <c r="P137" i="2" s="1"/>
  <c r="D138" i="2"/>
  <c r="D139" i="2"/>
  <c r="E139" i="2" s="1"/>
  <c r="N139" i="2" s="1"/>
  <c r="D140" i="2"/>
  <c r="E140" i="2" s="1"/>
  <c r="N140" i="2" s="1"/>
  <c r="D141" i="2"/>
  <c r="E141" i="2" s="1"/>
  <c r="N141" i="2" s="1"/>
  <c r="D142" i="2"/>
  <c r="E142" i="2" s="1"/>
  <c r="N142" i="2" s="1"/>
  <c r="D144" i="2"/>
  <c r="D145" i="2"/>
  <c r="E145" i="2" s="1"/>
  <c r="P145" i="2" s="1"/>
  <c r="D146" i="2"/>
  <c r="D147" i="2"/>
  <c r="D148" i="2"/>
  <c r="D149" i="2"/>
  <c r="D150" i="2"/>
  <c r="E150" i="2" s="1"/>
  <c r="N150" i="2" s="1"/>
  <c r="D151" i="2"/>
  <c r="E151" i="2" s="1"/>
  <c r="N151" i="2" s="1"/>
  <c r="D152" i="2"/>
  <c r="E152" i="2" s="1"/>
  <c r="P152" i="2" s="1"/>
  <c r="D153" i="2"/>
  <c r="E153" i="2" s="1"/>
  <c r="N153" i="2" s="1"/>
  <c r="D155" i="2"/>
  <c r="E155" i="2" s="1"/>
  <c r="N155" i="2" s="1"/>
  <c r="D156" i="2"/>
  <c r="D157" i="2"/>
  <c r="D158" i="2"/>
  <c r="E158" i="2" s="1"/>
  <c r="N158" i="2" s="1"/>
  <c r="D159" i="2"/>
  <c r="D160" i="2"/>
  <c r="E160" i="2" s="1"/>
  <c r="P160" i="2" s="1"/>
  <c r="D161" i="2"/>
  <c r="E161" i="2" s="1"/>
  <c r="N161" i="2" s="1"/>
  <c r="D162" i="2"/>
  <c r="E162" i="2" s="1"/>
  <c r="N162" i="2" s="1"/>
  <c r="D163" i="2"/>
  <c r="D164" i="2"/>
  <c r="E164" i="2" s="1"/>
  <c r="N164" i="2" s="1"/>
  <c r="D165" i="2"/>
  <c r="E165" i="2" s="1"/>
  <c r="P165" i="2" s="1"/>
  <c r="D166" i="2"/>
  <c r="E166" i="2" s="1"/>
  <c r="N166" i="2" s="1"/>
  <c r="D167" i="2"/>
  <c r="E167" i="2" s="1"/>
  <c r="P167" i="2" s="1"/>
  <c r="D168" i="2"/>
  <c r="E168" i="2" s="1"/>
  <c r="P168" i="2" s="1"/>
  <c r="D169" i="2"/>
  <c r="D170" i="2"/>
  <c r="E170" i="2" s="1"/>
  <c r="N170" i="2" s="1"/>
  <c r="D171" i="2"/>
  <c r="E171" i="2" s="1"/>
  <c r="N171" i="2" s="1"/>
  <c r="D172" i="2"/>
  <c r="E172" i="2" s="1"/>
  <c r="N172" i="2" s="1"/>
  <c r="D173" i="2"/>
  <c r="D174" i="2"/>
  <c r="D175" i="2"/>
  <c r="D176" i="2"/>
  <c r="D177" i="2"/>
  <c r="E177" i="2" s="1"/>
  <c r="P177" i="2" s="1"/>
  <c r="D178" i="2"/>
  <c r="D179" i="2"/>
  <c r="E179" i="2" s="1"/>
  <c r="P179" i="2" s="1"/>
  <c r="D180" i="2"/>
  <c r="E180" i="2" s="1"/>
  <c r="N180" i="2" s="1"/>
  <c r="D181" i="2"/>
  <c r="D182" i="2"/>
  <c r="E182" i="2" s="1"/>
  <c r="P182" i="2" s="1"/>
  <c r="D183" i="2"/>
  <c r="E183" i="2" s="1"/>
  <c r="P183" i="2" s="1"/>
  <c r="D184" i="2"/>
  <c r="E184" i="2" s="1"/>
  <c r="N184" i="2" s="1"/>
  <c r="D185" i="2"/>
  <c r="E185" i="2" s="1"/>
  <c r="P185" i="2" s="1"/>
  <c r="D186" i="2"/>
  <c r="D187" i="2"/>
  <c r="D188" i="2"/>
  <c r="D189" i="2"/>
  <c r="E189" i="2" s="1"/>
  <c r="N189" i="2" s="1"/>
  <c r="D190" i="2"/>
  <c r="E190" i="2" s="1"/>
  <c r="P190" i="2" s="1"/>
  <c r="D191" i="2"/>
  <c r="E191" i="2" s="1"/>
  <c r="P191" i="2" s="1"/>
  <c r="D192" i="2"/>
  <c r="E192" i="2" s="1"/>
  <c r="N192" i="2" s="1"/>
  <c r="D193" i="2"/>
  <c r="D194" i="2"/>
  <c r="E194" i="2" s="1"/>
  <c r="P194" i="2" s="1"/>
  <c r="D195" i="2"/>
  <c r="E195" i="2" s="1"/>
  <c r="P195" i="2" s="1"/>
  <c r="D196" i="2"/>
  <c r="E196" i="2" s="1"/>
  <c r="N196" i="2" s="1"/>
  <c r="D197" i="2"/>
  <c r="E197" i="2" s="1"/>
  <c r="P197" i="2" s="1"/>
  <c r="D198" i="2"/>
  <c r="E198" i="2" s="1"/>
  <c r="P198" i="2" s="1"/>
  <c r="D199" i="2"/>
  <c r="E199" i="2" s="1"/>
  <c r="P199" i="2" s="1"/>
  <c r="D200" i="2"/>
  <c r="D202" i="2"/>
  <c r="E202" i="2" s="1"/>
  <c r="P202" i="2" s="1"/>
  <c r="D203" i="2"/>
  <c r="D204" i="2"/>
  <c r="E204" i="2" s="1"/>
  <c r="N204" i="2" s="1"/>
  <c r="D205" i="2"/>
  <c r="D206" i="2"/>
  <c r="D207" i="2"/>
  <c r="E207" i="2" s="1"/>
  <c r="N207" i="2" s="1"/>
  <c r="D208" i="2"/>
  <c r="D209" i="2"/>
  <c r="D210" i="2"/>
  <c r="E210" i="2" s="1"/>
  <c r="P210" i="2" s="1"/>
  <c r="D211" i="2"/>
  <c r="E211" i="2" s="1"/>
  <c r="N211" i="2" s="1"/>
  <c r="D212" i="2"/>
  <c r="E212" i="2" s="1"/>
  <c r="N212" i="2" s="1"/>
  <c r="D213" i="2"/>
  <c r="E213" i="2" s="1"/>
  <c r="N213" i="2" s="1"/>
  <c r="D214" i="2"/>
  <c r="D215" i="2"/>
  <c r="D216" i="2"/>
  <c r="D217" i="2"/>
  <c r="E217" i="2" s="1"/>
  <c r="N217" i="2" s="1"/>
  <c r="D218" i="2"/>
  <c r="D219" i="2"/>
  <c r="E219" i="2" s="1"/>
  <c r="N219" i="2" s="1"/>
  <c r="D220" i="2"/>
  <c r="E220" i="2" s="1"/>
  <c r="N220" i="2" s="1"/>
  <c r="D221" i="2"/>
  <c r="E221" i="2" s="1"/>
  <c r="D222" i="2"/>
  <c r="E222" i="2" s="1"/>
  <c r="N222" i="2" s="1"/>
  <c r="D223" i="2"/>
  <c r="D224" i="2"/>
  <c r="E224" i="2" s="1"/>
  <c r="P224" i="2" s="1"/>
  <c r="D225" i="2"/>
  <c r="E225" i="2" s="1"/>
  <c r="N225" i="2" s="1"/>
  <c r="D226" i="2"/>
  <c r="D227" i="2"/>
  <c r="E227" i="2" s="1"/>
  <c r="N227" i="2" s="1"/>
  <c r="D228" i="2"/>
  <c r="E228" i="2" s="1"/>
  <c r="N228" i="2" s="1"/>
  <c r="D229" i="2"/>
  <c r="E229" i="2" s="1"/>
  <c r="N229" i="2" s="1"/>
  <c r="D231" i="2"/>
  <c r="E231" i="2" s="1"/>
  <c r="N231" i="2" s="1"/>
  <c r="D232" i="2"/>
  <c r="E232" i="2" s="1"/>
  <c r="P232" i="2" s="1"/>
  <c r="D233" i="2"/>
  <c r="E233" i="2" s="1"/>
  <c r="P233" i="2" s="1"/>
  <c r="D234" i="2"/>
  <c r="E234" i="2" s="1"/>
  <c r="N234" i="2" s="1"/>
  <c r="D235" i="2"/>
  <c r="E235" i="2" s="1"/>
  <c r="N235" i="2" s="1"/>
  <c r="D236" i="2"/>
  <c r="E236" i="2" s="1"/>
  <c r="N236" i="2" s="1"/>
  <c r="D237" i="2"/>
  <c r="E237" i="2" s="1"/>
  <c r="N237" i="2" s="1"/>
  <c r="D238" i="2"/>
  <c r="E238" i="2" s="1"/>
  <c r="N238" i="2" s="1"/>
  <c r="D239" i="2"/>
  <c r="E239" i="2" s="1"/>
  <c r="N239" i="2" s="1"/>
  <c r="D240" i="2"/>
  <c r="E240" i="2" s="1"/>
  <c r="P240" i="2" s="1"/>
  <c r="D241" i="2"/>
  <c r="E241" i="2" s="1"/>
  <c r="N241" i="2" s="1"/>
  <c r="D242" i="2"/>
  <c r="E242" i="2" s="1"/>
  <c r="P242" i="2" s="1"/>
  <c r="D243" i="2"/>
  <c r="E243" i="2" s="1"/>
  <c r="P243" i="2" s="1"/>
  <c r="D244" i="2"/>
  <c r="D245" i="2"/>
  <c r="E245" i="2" s="1"/>
  <c r="N245" i="2" s="1"/>
  <c r="D246" i="2"/>
  <c r="E246" i="2" s="1"/>
  <c r="N246" i="2" s="1"/>
  <c r="D247" i="2"/>
  <c r="E247" i="2" s="1"/>
  <c r="N247" i="2" s="1"/>
  <c r="D248" i="2"/>
  <c r="D249" i="2"/>
  <c r="D250" i="2"/>
  <c r="D251" i="2"/>
  <c r="D252" i="2"/>
  <c r="D253" i="2"/>
  <c r="E253" i="2" s="1"/>
  <c r="N253" i="2" s="1"/>
  <c r="D254" i="2"/>
  <c r="E254" i="2" s="1"/>
  <c r="N254" i="2" s="1"/>
  <c r="D255" i="2"/>
  <c r="D256" i="2"/>
  <c r="E256" i="2" s="1"/>
  <c r="P256" i="2" s="1"/>
  <c r="D257" i="2"/>
  <c r="D258" i="2"/>
  <c r="D259" i="2"/>
  <c r="E259" i="2" s="1"/>
  <c r="P259" i="2" s="1"/>
  <c r="D260" i="2"/>
  <c r="E260" i="2" s="1"/>
  <c r="P260" i="2" s="1"/>
  <c r="D261" i="2"/>
  <c r="D262" i="2"/>
  <c r="E262" i="2" s="1"/>
  <c r="N262" i="2" s="1"/>
  <c r="D263" i="2"/>
  <c r="E263" i="2" s="1"/>
  <c r="P263" i="2" s="1"/>
  <c r="D264" i="2"/>
  <c r="D265" i="2"/>
  <c r="D266" i="2"/>
  <c r="D267" i="2"/>
  <c r="D268" i="2"/>
  <c r="D269" i="2"/>
  <c r="E269" i="2" s="1"/>
  <c r="N269" i="2" s="1"/>
  <c r="D270" i="2"/>
  <c r="D271" i="2"/>
  <c r="E271" i="2" s="1"/>
  <c r="P271" i="2" s="1"/>
  <c r="D272" i="2"/>
  <c r="E272" i="2" s="1"/>
  <c r="P272" i="2" s="1"/>
  <c r="D273" i="2"/>
  <c r="D274" i="2"/>
  <c r="E274" i="2" s="1"/>
  <c r="P274" i="2" s="1"/>
  <c r="D275" i="2"/>
  <c r="D276" i="2"/>
  <c r="D277" i="2"/>
  <c r="D278" i="2"/>
  <c r="D279" i="2"/>
  <c r="D280" i="2"/>
  <c r="D281" i="2"/>
  <c r="D282" i="2"/>
  <c r="E282" i="2" s="1"/>
  <c r="N282" i="2" s="1"/>
  <c r="D283" i="2"/>
  <c r="D284" i="2"/>
  <c r="D285" i="2"/>
  <c r="D286" i="2"/>
  <c r="E286" i="2" s="1"/>
  <c r="N286" i="2" s="1"/>
  <c r="D287" i="2"/>
  <c r="D288" i="2"/>
  <c r="E288" i="2" s="1"/>
  <c r="N288" i="2" s="1"/>
  <c r="D289" i="2"/>
  <c r="E289" i="2" s="1"/>
  <c r="P289" i="2" s="1"/>
  <c r="D290" i="2"/>
  <c r="E290" i="2" s="1"/>
  <c r="N290" i="2" s="1"/>
  <c r="D291" i="2"/>
  <c r="E291" i="2" s="1"/>
  <c r="N291" i="2" s="1"/>
  <c r="D292" i="2"/>
  <c r="E292" i="2" s="1"/>
  <c r="N292" i="2" s="1"/>
  <c r="D293" i="2"/>
  <c r="E293" i="2" s="1"/>
  <c r="N293" i="2" s="1"/>
  <c r="D294" i="2"/>
  <c r="D295" i="2"/>
  <c r="D296" i="2"/>
  <c r="E296" i="2" s="1"/>
  <c r="P296" i="2" s="1"/>
  <c r="D297" i="2"/>
  <c r="E297" i="2" s="1"/>
  <c r="N297" i="2" s="1"/>
  <c r="D298" i="2"/>
  <c r="D299" i="2"/>
  <c r="E299" i="2" s="1"/>
  <c r="N299" i="2" s="1"/>
  <c r="D300" i="2"/>
  <c r="D301" i="2"/>
  <c r="E301" i="2" s="1"/>
  <c r="N301" i="2" s="1"/>
  <c r="D302" i="2"/>
  <c r="D303" i="2"/>
  <c r="D304" i="2"/>
  <c r="E304" i="2" s="1"/>
  <c r="N304" i="2" s="1"/>
  <c r="D305" i="2"/>
  <c r="E305" i="2" s="1"/>
  <c r="P305" i="2" s="1"/>
  <c r="D306" i="2"/>
  <c r="E306" i="2" s="1"/>
  <c r="P306" i="2" s="1"/>
  <c r="D307" i="2"/>
  <c r="D308" i="2"/>
  <c r="E308" i="2" s="1"/>
  <c r="N308" i="2" s="1"/>
  <c r="D309" i="2"/>
  <c r="D310" i="2"/>
  <c r="E310" i="2" s="1"/>
  <c r="P310" i="2" s="1"/>
  <c r="D311" i="2"/>
  <c r="E311" i="2" s="1"/>
  <c r="P311" i="2" s="1"/>
  <c r="D312" i="2"/>
  <c r="E312" i="2" s="1"/>
  <c r="P312" i="2" s="1"/>
  <c r="D313" i="2"/>
  <c r="E313" i="2" s="1"/>
  <c r="P313" i="2" s="1"/>
  <c r="D314" i="2"/>
  <c r="E314" i="2" s="1"/>
  <c r="P314" i="2" s="1"/>
  <c r="D315" i="2"/>
  <c r="E315" i="2" s="1"/>
  <c r="P315" i="2" s="1"/>
  <c r="D316" i="2"/>
  <c r="E316" i="2" s="1"/>
  <c r="N316" i="2" s="1"/>
  <c r="D317" i="2"/>
  <c r="E317" i="2" s="1"/>
  <c r="P317" i="2" s="1"/>
  <c r="D318" i="2"/>
  <c r="E318" i="2" s="1"/>
  <c r="P318" i="2" s="1"/>
  <c r="D319" i="2"/>
  <c r="E319" i="2" s="1"/>
  <c r="P319" i="2" s="1"/>
  <c r="D3" i="2"/>
  <c r="E3" i="2" s="1"/>
  <c r="P3" i="2" s="1"/>
  <c r="W4" i="2" l="1"/>
  <c r="W28" i="2"/>
  <c r="W36" i="2"/>
  <c r="W53" i="2"/>
  <c r="W61" i="2"/>
  <c r="W77" i="2"/>
  <c r="W172" i="2"/>
  <c r="W269" i="2"/>
  <c r="W45" i="2"/>
  <c r="W165" i="2"/>
  <c r="W286" i="2"/>
  <c r="W63" i="2"/>
  <c r="W150" i="2"/>
  <c r="W231" i="2"/>
  <c r="W15" i="2"/>
  <c r="W88" i="2"/>
  <c r="W191" i="2"/>
  <c r="W304" i="2"/>
  <c r="W73" i="2"/>
  <c r="W168" i="2"/>
  <c r="W297" i="2"/>
  <c r="W49" i="2"/>
  <c r="W129" i="2"/>
  <c r="W210" i="2"/>
  <c r="W314" i="2"/>
  <c r="W67" i="2"/>
  <c r="W170" i="2"/>
  <c r="W299" i="2"/>
  <c r="W43" i="2"/>
  <c r="W171" i="2"/>
  <c r="W85" i="2"/>
  <c r="W180" i="2"/>
  <c r="W293" i="2"/>
  <c r="W54" i="2"/>
  <c r="W189" i="2"/>
  <c r="W310" i="2"/>
  <c r="W71" i="2"/>
  <c r="W158" i="2"/>
  <c r="W239" i="2"/>
  <c r="W23" i="2"/>
  <c r="W104" i="2"/>
  <c r="W199" i="2"/>
  <c r="W312" i="2"/>
  <c r="W97" i="2"/>
  <c r="W184" i="2"/>
  <c r="W305" i="2"/>
  <c r="W58" i="2"/>
  <c r="W137" i="2"/>
  <c r="W225" i="2"/>
  <c r="W292" i="2"/>
  <c r="W75" i="2"/>
  <c r="W194" i="2"/>
  <c r="W315" i="2"/>
  <c r="W52" i="2"/>
  <c r="W179" i="2"/>
  <c r="W93" i="2"/>
  <c r="W196" i="2"/>
  <c r="W301" i="2"/>
  <c r="W70" i="2"/>
  <c r="W197" i="2"/>
  <c r="W318" i="2"/>
  <c r="W79" i="2"/>
  <c r="W166" i="2"/>
  <c r="W247" i="2"/>
  <c r="W31" i="2"/>
  <c r="W112" i="2"/>
  <c r="W232" i="2"/>
  <c r="W3" i="2"/>
  <c r="W105" i="2"/>
  <c r="W192" i="2"/>
  <c r="W313" i="2"/>
  <c r="W66" i="2"/>
  <c r="W145" i="2"/>
  <c r="W234" i="2"/>
  <c r="W18" i="2"/>
  <c r="W83" i="2"/>
  <c r="W211" i="2"/>
  <c r="W227" i="2"/>
  <c r="W68" i="2"/>
  <c r="W195" i="2"/>
  <c r="W101" i="2"/>
  <c r="W213" i="2"/>
  <c r="W317" i="2"/>
  <c r="W86" i="2"/>
  <c r="W229" i="2"/>
  <c r="W6" i="2"/>
  <c r="W95" i="2"/>
  <c r="W182" i="2"/>
  <c r="W263" i="2"/>
  <c r="W39" i="2"/>
  <c r="W119" i="2"/>
  <c r="W240" i="2"/>
  <c r="W8" i="2"/>
  <c r="W113" i="2"/>
  <c r="W217" i="2"/>
  <c r="W316" i="2"/>
  <c r="W74" i="2"/>
  <c r="W153" i="2"/>
  <c r="W242" i="2"/>
  <c r="W26" i="2"/>
  <c r="W91" i="2"/>
  <c r="W219" i="2"/>
  <c r="W308" i="2"/>
  <c r="W76" i="2"/>
  <c r="W204" i="2"/>
  <c r="W44" i="2"/>
  <c r="W109" i="2"/>
  <c r="W228" i="2"/>
  <c r="W5" i="2"/>
  <c r="W94" i="2"/>
  <c r="W238" i="2"/>
  <c r="W14" i="2"/>
  <c r="W103" i="2"/>
  <c r="W190" i="2"/>
  <c r="W271" i="2"/>
  <c r="W47" i="2"/>
  <c r="W127" i="2"/>
  <c r="W256" i="2"/>
  <c r="W16" i="2"/>
  <c r="W128" i="2"/>
  <c r="W224" i="2"/>
  <c r="W9" i="2"/>
  <c r="W82" i="2"/>
  <c r="W161" i="2"/>
  <c r="W274" i="2"/>
  <c r="W34" i="2"/>
  <c r="W107" i="2"/>
  <c r="W235" i="2"/>
  <c r="W11" i="2"/>
  <c r="W92" i="2"/>
  <c r="W212" i="2"/>
  <c r="W132" i="2"/>
  <c r="W237" i="2"/>
  <c r="W13" i="2"/>
  <c r="W102" i="2"/>
  <c r="W246" i="2"/>
  <c r="W30" i="2"/>
  <c r="W126" i="2"/>
  <c r="W198" i="2"/>
  <c r="W311" i="2"/>
  <c r="W56" i="2"/>
  <c r="W151" i="2"/>
  <c r="W272" i="2"/>
  <c r="W40" i="2"/>
  <c r="W136" i="2"/>
  <c r="W233" i="2"/>
  <c r="W25" i="2"/>
  <c r="W90" i="2"/>
  <c r="W177" i="2"/>
  <c r="W282" i="2"/>
  <c r="W42" i="2"/>
  <c r="W115" i="2"/>
  <c r="W243" i="2"/>
  <c r="W19" i="2"/>
  <c r="W108" i="2"/>
  <c r="W220" i="2"/>
  <c r="W140" i="2"/>
  <c r="W245" i="2"/>
  <c r="W21" i="2"/>
  <c r="W110" i="2"/>
  <c r="W254" i="2"/>
  <c r="W38" i="2"/>
  <c r="W134" i="2"/>
  <c r="W207" i="2"/>
  <c r="W319" i="2"/>
  <c r="W72" i="2"/>
  <c r="W167" i="2"/>
  <c r="W288" i="2"/>
  <c r="W48" i="2"/>
  <c r="W152" i="2"/>
  <c r="W241" i="2"/>
  <c r="W33" i="2"/>
  <c r="W98" i="2"/>
  <c r="W185" i="2"/>
  <c r="W290" i="2"/>
  <c r="W51" i="2"/>
  <c r="W130" i="2"/>
  <c r="W259" i="2"/>
  <c r="W27" i="2"/>
  <c r="W139" i="2"/>
  <c r="W236" i="2"/>
  <c r="W69" i="2"/>
  <c r="W164" i="2"/>
  <c r="W253" i="2"/>
  <c r="W37" i="2"/>
  <c r="W141" i="2"/>
  <c r="W262" i="2"/>
  <c r="W55" i="2"/>
  <c r="W142" i="2"/>
  <c r="W222" i="2"/>
  <c r="W7" i="2"/>
  <c r="W80" i="2"/>
  <c r="W183" i="2"/>
  <c r="W296" i="2"/>
  <c r="W65" i="2"/>
  <c r="W160" i="2"/>
  <c r="W289" i="2"/>
  <c r="W41" i="2"/>
  <c r="W114" i="2"/>
  <c r="W202" i="2"/>
  <c r="W306" i="2"/>
  <c r="W59" i="2"/>
  <c r="W162" i="2"/>
  <c r="W291" i="2"/>
  <c r="W35" i="2"/>
  <c r="W155" i="2"/>
  <c r="W260" i="2"/>
  <c r="P97" i="2"/>
  <c r="P153" i="2"/>
  <c r="P128" i="2"/>
  <c r="P211" i="2"/>
  <c r="P33" i="2"/>
  <c r="P41" i="2"/>
  <c r="P16" i="2"/>
  <c r="P44" i="2"/>
  <c r="P65" i="2"/>
  <c r="P217" i="2"/>
  <c r="P220" i="2"/>
  <c r="P228" i="2"/>
  <c r="P227" i="2"/>
  <c r="P98" i="2"/>
  <c r="P79" i="2"/>
  <c r="P45" i="2"/>
  <c r="P73" i="2"/>
  <c r="P239" i="2"/>
  <c r="P4" i="2"/>
  <c r="P31" i="2"/>
  <c r="P53" i="2"/>
  <c r="P109" i="2"/>
  <c r="P234" i="2"/>
  <c r="P132" i="2"/>
  <c r="P108" i="2"/>
  <c r="P286" i="2"/>
  <c r="P192" i="2"/>
  <c r="P225" i="2"/>
  <c r="P170" i="2"/>
  <c r="P299" i="2"/>
  <c r="P11" i="2"/>
  <c r="P92" i="2"/>
  <c r="P212" i="2"/>
  <c r="P36" i="2"/>
  <c r="P101" i="2"/>
  <c r="P213" i="2"/>
  <c r="P37" i="2"/>
  <c r="P141" i="2"/>
  <c r="P262" i="2"/>
  <c r="P23" i="2"/>
  <c r="P19" i="2"/>
  <c r="P18" i="2"/>
  <c r="P27" i="2"/>
  <c r="P237" i="2"/>
  <c r="P40" i="2"/>
  <c r="P282" i="2"/>
  <c r="P161" i="2"/>
  <c r="P26" i="2"/>
  <c r="P91" i="2"/>
  <c r="P219" i="2"/>
  <c r="P38" i="2"/>
  <c r="P35" i="2"/>
  <c r="P155" i="2"/>
  <c r="P236" i="2"/>
  <c r="P140" i="2"/>
  <c r="P245" i="2"/>
  <c r="P70" i="2"/>
  <c r="P30" i="2"/>
  <c r="P55" i="2"/>
  <c r="P83" i="2"/>
  <c r="P139" i="2"/>
  <c r="P150" i="2"/>
  <c r="P142" i="2"/>
  <c r="P189" i="2"/>
  <c r="P241" i="2"/>
  <c r="P290" i="2"/>
  <c r="P25" i="2"/>
  <c r="P90" i="2"/>
  <c r="P34" i="2"/>
  <c r="P107" i="2"/>
  <c r="P235" i="2"/>
  <c r="P95" i="2"/>
  <c r="P43" i="2"/>
  <c r="P171" i="2"/>
  <c r="P69" i="2"/>
  <c r="P164" i="2"/>
  <c r="P253" i="2"/>
  <c r="P247" i="2"/>
  <c r="P86" i="2"/>
  <c r="P229" i="2"/>
  <c r="P151" i="2"/>
  <c r="P103" i="2"/>
  <c r="P42" i="2"/>
  <c r="P158" i="2"/>
  <c r="P292" i="2"/>
  <c r="P77" i="2"/>
  <c r="P172" i="2"/>
  <c r="P269" i="2"/>
  <c r="P5" i="2"/>
  <c r="P94" i="2"/>
  <c r="P238" i="2"/>
  <c r="P207" i="2"/>
  <c r="P288" i="2"/>
  <c r="P166" i="2"/>
  <c r="P297" i="2"/>
  <c r="P222" i="2"/>
  <c r="P308" i="2"/>
  <c r="P85" i="2"/>
  <c r="P180" i="2"/>
  <c r="P293" i="2"/>
  <c r="P13" i="2"/>
  <c r="P102" i="2"/>
  <c r="P246" i="2"/>
  <c r="P231" i="2"/>
  <c r="P184" i="2"/>
  <c r="P162" i="2"/>
  <c r="P291" i="2"/>
  <c r="P76" i="2"/>
  <c r="P204" i="2"/>
  <c r="P316" i="2"/>
  <c r="P28" i="2"/>
  <c r="P93" i="2"/>
  <c r="P196" i="2"/>
  <c r="P301" i="2"/>
  <c r="P21" i="2"/>
  <c r="P254" i="2"/>
  <c r="P88" i="2"/>
  <c r="P304" i="2"/>
  <c r="N75" i="2"/>
  <c r="N67" i="2"/>
  <c r="N59" i="2"/>
  <c r="N51" i="2"/>
  <c r="N314" i="2"/>
  <c r="N306" i="2"/>
  <c r="N260" i="2"/>
  <c r="N195" i="2"/>
  <c r="N179" i="2"/>
  <c r="N137" i="2"/>
  <c r="N129" i="2"/>
  <c r="N114" i="2"/>
  <c r="N82" i="2"/>
  <c r="N74" i="2"/>
  <c r="N66" i="2"/>
  <c r="N58" i="2"/>
  <c r="N49" i="2"/>
  <c r="N9" i="2"/>
  <c r="N259" i="2"/>
  <c r="N243" i="2"/>
  <c r="N194" i="2"/>
  <c r="N145" i="2"/>
  <c r="N136" i="2"/>
  <c r="N113" i="2"/>
  <c r="N105" i="2"/>
  <c r="N48" i="2"/>
  <c r="N8" i="2"/>
  <c r="N313" i="2"/>
  <c r="N305" i="2"/>
  <c r="N3" i="2"/>
  <c r="N312" i="2"/>
  <c r="N274" i="2"/>
  <c r="N242" i="2"/>
  <c r="N210" i="2"/>
  <c r="N202" i="2"/>
  <c r="N185" i="2"/>
  <c r="N177" i="2"/>
  <c r="N152" i="2"/>
  <c r="N127" i="2"/>
  <c r="N119" i="2"/>
  <c r="N112" i="2"/>
  <c r="N104" i="2"/>
  <c r="N80" i="2"/>
  <c r="N72" i="2"/>
  <c r="N56" i="2"/>
  <c r="N47" i="2"/>
  <c r="N39" i="2"/>
  <c r="N15" i="2"/>
  <c r="N7" i="2"/>
  <c r="N197" i="2"/>
  <c r="N165" i="2"/>
  <c r="N315" i="2"/>
  <c r="N130" i="2"/>
  <c r="N115" i="2"/>
  <c r="N319" i="2"/>
  <c r="N311" i="2"/>
  <c r="N296" i="2"/>
  <c r="N289" i="2"/>
  <c r="N233" i="2"/>
  <c r="N224" i="2"/>
  <c r="N168" i="2"/>
  <c r="N160" i="2"/>
  <c r="N134" i="2"/>
  <c r="N126" i="2"/>
  <c r="N71" i="2"/>
  <c r="N63" i="2"/>
  <c r="N14" i="2"/>
  <c r="N6" i="2"/>
  <c r="N52" i="2"/>
  <c r="N318" i="2"/>
  <c r="N310" i="2"/>
  <c r="N272" i="2"/>
  <c r="N256" i="2"/>
  <c r="N240" i="2"/>
  <c r="N232" i="2"/>
  <c r="N199" i="2"/>
  <c r="N191" i="2"/>
  <c r="N183" i="2"/>
  <c r="N167" i="2"/>
  <c r="N110" i="2"/>
  <c r="N54" i="2"/>
  <c r="N68" i="2"/>
  <c r="N317" i="2"/>
  <c r="N271" i="2"/>
  <c r="N263" i="2"/>
  <c r="N198" i="2"/>
  <c r="N190" i="2"/>
  <c r="N182" i="2"/>
  <c r="N61" i="2"/>
  <c r="E294" i="2"/>
  <c r="N103" i="3"/>
  <c r="M103" i="3" s="1"/>
  <c r="X294" i="2" s="1"/>
  <c r="E214" i="2"/>
  <c r="N67" i="3"/>
  <c r="M67" i="3" s="1"/>
  <c r="X214" i="2" s="1"/>
  <c r="Y110" i="2"/>
  <c r="Z110" i="2"/>
  <c r="E29" i="2"/>
  <c r="N8" i="3"/>
  <c r="M8" i="3" s="1"/>
  <c r="X29" i="2" s="1"/>
  <c r="Y21" i="2"/>
  <c r="Z21" i="2"/>
  <c r="Z13" i="2"/>
  <c r="Y13" i="2"/>
  <c r="Y5" i="2"/>
  <c r="Z5" i="2"/>
  <c r="Y286" i="2"/>
  <c r="Z286" i="2"/>
  <c r="Z197" i="2"/>
  <c r="Y197" i="2"/>
  <c r="Z37" i="2"/>
  <c r="Y37" i="2"/>
  <c r="Y315" i="2"/>
  <c r="Z315" i="2"/>
  <c r="E307" i="2"/>
  <c r="N110" i="3"/>
  <c r="M110" i="3" s="1"/>
  <c r="X307" i="2" s="1"/>
  <c r="E300" i="2"/>
  <c r="N107" i="3"/>
  <c r="M107" i="3" s="1"/>
  <c r="X300" i="2" s="1"/>
  <c r="Y293" i="2"/>
  <c r="Z293" i="2"/>
  <c r="E285" i="2"/>
  <c r="N101" i="3"/>
  <c r="M101" i="3" s="1"/>
  <c r="X285" i="2" s="1"/>
  <c r="E277" i="2"/>
  <c r="N94" i="3"/>
  <c r="M94" i="3" s="1"/>
  <c r="X277" i="2" s="1"/>
  <c r="Y269" i="2"/>
  <c r="Z269" i="2"/>
  <c r="E261" i="2"/>
  <c r="N84" i="3"/>
  <c r="M84" i="3" s="1"/>
  <c r="X261" i="2" s="1"/>
  <c r="Y253" i="2"/>
  <c r="Z253" i="2"/>
  <c r="Y245" i="2"/>
  <c r="Z245" i="2"/>
  <c r="Y237" i="2"/>
  <c r="Z237" i="2"/>
  <c r="Y228" i="2"/>
  <c r="Z228" i="2"/>
  <c r="Y213" i="2"/>
  <c r="Z213" i="2"/>
  <c r="E205" i="2"/>
  <c r="N63" i="3"/>
  <c r="M63" i="3" s="1"/>
  <c r="X205" i="2" s="1"/>
  <c r="Y196" i="2"/>
  <c r="Z196" i="2"/>
  <c r="E188" i="2"/>
  <c r="N58" i="3"/>
  <c r="M58" i="3" s="1"/>
  <c r="X188" i="2" s="1"/>
  <c r="Y180" i="2"/>
  <c r="Z180" i="2"/>
  <c r="Y172" i="2"/>
  <c r="Z172" i="2"/>
  <c r="Y164" i="2"/>
  <c r="Z164" i="2"/>
  <c r="E156" i="2"/>
  <c r="N45" i="3"/>
  <c r="M45" i="3" s="1"/>
  <c r="X156" i="2" s="1"/>
  <c r="E148" i="2"/>
  <c r="N42" i="3"/>
  <c r="M42" i="3" s="1"/>
  <c r="X148" i="2" s="1"/>
  <c r="Y140" i="2"/>
  <c r="Z140" i="2"/>
  <c r="Z132" i="2"/>
  <c r="Y132" i="2"/>
  <c r="E124" i="2"/>
  <c r="N32" i="3"/>
  <c r="M32" i="3" s="1"/>
  <c r="X124" i="2" s="1"/>
  <c r="E117" i="2"/>
  <c r="N26" i="3"/>
  <c r="M26" i="3" s="1"/>
  <c r="X117" i="2" s="1"/>
  <c r="Y109" i="2"/>
  <c r="Z109" i="2"/>
  <c r="Y101" i="2"/>
  <c r="Z101" i="2"/>
  <c r="Y93" i="2"/>
  <c r="Z93" i="2"/>
  <c r="Y85" i="2"/>
  <c r="Z85" i="2"/>
  <c r="Y77" i="2"/>
  <c r="Z77" i="2"/>
  <c r="Y69" i="2"/>
  <c r="Z69" i="2"/>
  <c r="Y61" i="2"/>
  <c r="Z61" i="2"/>
  <c r="Y53" i="2"/>
  <c r="Z53" i="2"/>
  <c r="Y44" i="2"/>
  <c r="Z44" i="2"/>
  <c r="Z36" i="2"/>
  <c r="Y36" i="2"/>
  <c r="Y28" i="2"/>
  <c r="Z28" i="2"/>
  <c r="E20" i="2"/>
  <c r="N5" i="3"/>
  <c r="M5" i="3" s="1"/>
  <c r="X20" i="2" s="1"/>
  <c r="E12" i="2"/>
  <c r="N3" i="3"/>
  <c r="M3" i="3" s="1"/>
  <c r="X12" i="2" s="1"/>
  <c r="Y4" i="2"/>
  <c r="Z4" i="2"/>
  <c r="Z308" i="2"/>
  <c r="Y308" i="2"/>
  <c r="Y262" i="2"/>
  <c r="Z262" i="2"/>
  <c r="N71" i="3"/>
  <c r="M71" i="3" s="1"/>
  <c r="N72" i="3"/>
  <c r="M72" i="3" s="1"/>
  <c r="E206" i="2"/>
  <c r="N64" i="3"/>
  <c r="M64" i="3" s="1"/>
  <c r="X206" i="2" s="1"/>
  <c r="E149" i="2"/>
  <c r="N43" i="3"/>
  <c r="M43" i="3" s="1"/>
  <c r="X149" i="2" s="1"/>
  <c r="E133" i="2"/>
  <c r="N35" i="3"/>
  <c r="M35" i="3" s="1"/>
  <c r="X133" i="2" s="1"/>
  <c r="E125" i="2"/>
  <c r="N33" i="3"/>
  <c r="M33" i="3" s="1"/>
  <c r="X125" i="2" s="1"/>
  <c r="Y102" i="2"/>
  <c r="Z102" i="2"/>
  <c r="Z86" i="2"/>
  <c r="Y86" i="2"/>
  <c r="Y306" i="2"/>
  <c r="Z306" i="2"/>
  <c r="Y292" i="2"/>
  <c r="Z292" i="2"/>
  <c r="E284" i="2"/>
  <c r="N100" i="3"/>
  <c r="M100" i="3" s="1"/>
  <c r="X284" i="2" s="1"/>
  <c r="E276" i="2"/>
  <c r="N93" i="3"/>
  <c r="M93" i="3" s="1"/>
  <c r="X276" i="2" s="1"/>
  <c r="E268" i="2"/>
  <c r="N89" i="3"/>
  <c r="M89" i="3" s="1"/>
  <c r="X268" i="2" s="1"/>
  <c r="Y260" i="2"/>
  <c r="Z260" i="2"/>
  <c r="E252" i="2"/>
  <c r="N80" i="3"/>
  <c r="M80" i="3" s="1"/>
  <c r="X252" i="2" s="1"/>
  <c r="E244" i="2"/>
  <c r="N75" i="3"/>
  <c r="M75" i="3" s="1"/>
  <c r="X244" i="2" s="1"/>
  <c r="Y236" i="2"/>
  <c r="Z236" i="2"/>
  <c r="Z227" i="2"/>
  <c r="Y227" i="2"/>
  <c r="Y220" i="2"/>
  <c r="Z220" i="2"/>
  <c r="Y212" i="2"/>
  <c r="Z212" i="2"/>
  <c r="Y204" i="2"/>
  <c r="Z204" i="2"/>
  <c r="Y195" i="2"/>
  <c r="Z195" i="2"/>
  <c r="E187" i="2"/>
  <c r="N57" i="3"/>
  <c r="M57" i="3" s="1"/>
  <c r="X187" i="2" s="1"/>
  <c r="Z179" i="2"/>
  <c r="Y179" i="2"/>
  <c r="Y171" i="2"/>
  <c r="Z171" i="2"/>
  <c r="E163" i="2"/>
  <c r="N48" i="3"/>
  <c r="M48" i="3" s="1"/>
  <c r="X163" i="2" s="1"/>
  <c r="Y155" i="2"/>
  <c r="Z155" i="2"/>
  <c r="E147" i="2"/>
  <c r="N41" i="3"/>
  <c r="M41" i="3" s="1"/>
  <c r="X147" i="2" s="1"/>
  <c r="Z139" i="2"/>
  <c r="Y139" i="2"/>
  <c r="E131" i="2"/>
  <c r="N34" i="3"/>
  <c r="M34" i="3" s="1"/>
  <c r="X131" i="2" s="1"/>
  <c r="E123" i="2"/>
  <c r="N31" i="3"/>
  <c r="M31" i="3" s="1"/>
  <c r="X123" i="2" s="1"/>
  <c r="E116" i="2"/>
  <c r="N25" i="3"/>
  <c r="M25" i="3" s="1"/>
  <c r="X116" i="2" s="1"/>
  <c r="Y108" i="2"/>
  <c r="Z108" i="2"/>
  <c r="E100" i="2"/>
  <c r="N22" i="3"/>
  <c r="M22" i="3" s="1"/>
  <c r="X100" i="2" s="1"/>
  <c r="W100" i="2" s="1"/>
  <c r="Y92" i="2"/>
  <c r="Z92" i="2"/>
  <c r="E84" i="2"/>
  <c r="N17" i="3"/>
  <c r="M17" i="3" s="1"/>
  <c r="X84" i="2" s="1"/>
  <c r="Y76" i="2"/>
  <c r="Z76" i="2"/>
  <c r="Y68" i="2"/>
  <c r="Z68" i="2"/>
  <c r="E60" i="2"/>
  <c r="N12" i="3"/>
  <c r="M12" i="3" s="1"/>
  <c r="X60" i="2" s="1"/>
  <c r="Y52" i="2"/>
  <c r="Z52" i="2"/>
  <c r="Y43" i="2"/>
  <c r="Z43" i="2"/>
  <c r="Y35" i="2"/>
  <c r="Z35" i="2"/>
  <c r="Y27" i="2"/>
  <c r="Z27" i="2"/>
  <c r="Y19" i="2"/>
  <c r="Z19" i="2"/>
  <c r="Y11" i="2"/>
  <c r="Z11" i="2"/>
  <c r="E278" i="2"/>
  <c r="N95" i="3"/>
  <c r="M95" i="3" s="1"/>
  <c r="X278" i="2" s="1"/>
  <c r="Y229" i="2"/>
  <c r="Z229" i="2"/>
  <c r="Y189" i="2"/>
  <c r="Z189" i="2"/>
  <c r="Y141" i="2"/>
  <c r="Z141" i="2"/>
  <c r="Y94" i="2"/>
  <c r="Z94" i="2"/>
  <c r="Y45" i="2"/>
  <c r="Z45" i="2"/>
  <c r="E298" i="2"/>
  <c r="N106" i="3"/>
  <c r="M106" i="3" s="1"/>
  <c r="X298" i="2" s="1"/>
  <c r="E283" i="2"/>
  <c r="N99" i="3"/>
  <c r="M99" i="3" s="1"/>
  <c r="X283" i="2" s="1"/>
  <c r="E267" i="2"/>
  <c r="N88" i="3"/>
  <c r="M88" i="3" s="1"/>
  <c r="X267" i="2" s="1"/>
  <c r="Y259" i="2"/>
  <c r="Z259" i="2"/>
  <c r="E251" i="2"/>
  <c r="N79" i="3"/>
  <c r="M79" i="3" s="1"/>
  <c r="X251" i="2" s="1"/>
  <c r="Z243" i="2"/>
  <c r="Y243" i="2"/>
  <c r="Y235" i="2"/>
  <c r="Z235" i="2"/>
  <c r="E226" i="2"/>
  <c r="N74" i="3"/>
  <c r="M74" i="3" s="1"/>
  <c r="X226" i="2" s="1"/>
  <c r="Y219" i="2"/>
  <c r="Z219" i="2"/>
  <c r="Y211" i="2"/>
  <c r="Z211" i="2"/>
  <c r="E203" i="2"/>
  <c r="N62" i="3"/>
  <c r="M62" i="3" s="1"/>
  <c r="X203" i="2" s="1"/>
  <c r="Y194" i="2"/>
  <c r="Z194" i="2"/>
  <c r="E186" i="2"/>
  <c r="N56" i="3"/>
  <c r="M56" i="3" s="1"/>
  <c r="X186" i="2" s="1"/>
  <c r="E178" i="2"/>
  <c r="N54" i="3"/>
  <c r="M54" i="3" s="1"/>
  <c r="X178" i="2" s="1"/>
  <c r="Y170" i="2"/>
  <c r="Z170" i="2"/>
  <c r="Y162" i="2"/>
  <c r="Z162" i="2"/>
  <c r="E154" i="2"/>
  <c r="N44" i="3"/>
  <c r="M44" i="3" s="1"/>
  <c r="X154" i="2" s="1"/>
  <c r="E146" i="2"/>
  <c r="N40" i="3"/>
  <c r="M40" i="3" s="1"/>
  <c r="X146" i="2" s="1"/>
  <c r="E138" i="2"/>
  <c r="N37" i="3"/>
  <c r="M37" i="3" s="1"/>
  <c r="X138" i="2" s="1"/>
  <c r="Y130" i="2"/>
  <c r="Z130" i="2"/>
  <c r="E122" i="2"/>
  <c r="N30" i="3"/>
  <c r="M30" i="3" s="1"/>
  <c r="X122" i="2" s="1"/>
  <c r="Y115" i="2"/>
  <c r="Z115" i="2"/>
  <c r="Z107" i="2"/>
  <c r="Y107" i="2"/>
  <c r="E99" i="2"/>
  <c r="N21" i="3"/>
  <c r="M21" i="3" s="1"/>
  <c r="X99" i="2" s="1"/>
  <c r="Y91" i="2"/>
  <c r="Z91" i="2"/>
  <c r="Y83" i="2"/>
  <c r="Z83" i="2"/>
  <c r="Y75" i="2"/>
  <c r="Z75" i="2"/>
  <c r="Y67" i="2"/>
  <c r="Z67" i="2"/>
  <c r="Z59" i="2"/>
  <c r="Y59" i="2"/>
  <c r="Y51" i="2"/>
  <c r="Z51" i="2"/>
  <c r="Y42" i="2"/>
  <c r="Z42" i="2"/>
  <c r="Y34" i="2"/>
  <c r="Z34" i="2"/>
  <c r="Y26" i="2"/>
  <c r="Z26" i="2"/>
  <c r="Y18" i="2"/>
  <c r="Z18" i="2"/>
  <c r="E10" i="2"/>
  <c r="N2" i="3"/>
  <c r="M2" i="3" s="1"/>
  <c r="X10" i="2" s="1"/>
  <c r="Y316" i="2"/>
  <c r="Z316" i="2"/>
  <c r="Y246" i="2"/>
  <c r="Z246" i="2"/>
  <c r="E173" i="2"/>
  <c r="N50" i="3"/>
  <c r="M50" i="3" s="1"/>
  <c r="X173" i="2" s="1"/>
  <c r="Y70" i="2"/>
  <c r="Z70" i="2"/>
  <c r="Y314" i="2"/>
  <c r="Z314" i="2"/>
  <c r="Y291" i="2"/>
  <c r="Z291" i="2"/>
  <c r="E275" i="2"/>
  <c r="N92" i="3"/>
  <c r="M92" i="3" s="1"/>
  <c r="X275" i="2" s="1"/>
  <c r="Y3" i="2"/>
  <c r="Z3" i="2"/>
  <c r="Y312" i="2"/>
  <c r="Z312" i="2"/>
  <c r="Y297" i="2"/>
  <c r="Z297" i="2"/>
  <c r="Y290" i="2"/>
  <c r="Z290" i="2"/>
  <c r="Y282" i="2"/>
  <c r="Z282" i="2"/>
  <c r="Z274" i="2"/>
  <c r="Y274" i="2"/>
  <c r="E266" i="2"/>
  <c r="N87" i="3"/>
  <c r="M87" i="3" s="1"/>
  <c r="X266" i="2" s="1"/>
  <c r="E258" i="2"/>
  <c r="N83" i="3"/>
  <c r="M83" i="3" s="1"/>
  <c r="X258" i="2" s="1"/>
  <c r="E250" i="2"/>
  <c r="N78" i="3"/>
  <c r="M78" i="3" s="1"/>
  <c r="X250" i="2" s="1"/>
  <c r="Y242" i="2"/>
  <c r="Z242" i="2"/>
  <c r="Y234" i="2"/>
  <c r="Z234" i="2"/>
  <c r="Y225" i="2"/>
  <c r="Z225" i="2"/>
  <c r="E218" i="2"/>
  <c r="N70" i="3"/>
  <c r="M70" i="3" s="1"/>
  <c r="X218" i="2" s="1"/>
  <c r="Y210" i="2"/>
  <c r="Z210" i="2"/>
  <c r="Y202" i="2"/>
  <c r="Z202" i="2"/>
  <c r="E193" i="2"/>
  <c r="N59" i="3"/>
  <c r="M59" i="3" s="1"/>
  <c r="X193" i="2" s="1"/>
  <c r="Y185" i="2"/>
  <c r="Z185" i="2"/>
  <c r="Y177" i="2"/>
  <c r="Z177" i="2"/>
  <c r="E169" i="2"/>
  <c r="N49" i="3"/>
  <c r="M49" i="3" s="1"/>
  <c r="X169" i="2" s="1"/>
  <c r="Y161" i="2"/>
  <c r="Z161" i="2"/>
  <c r="Y153" i="2"/>
  <c r="Z153" i="2"/>
  <c r="Y145" i="2"/>
  <c r="Z145" i="2"/>
  <c r="Y137" i="2"/>
  <c r="Z137" i="2"/>
  <c r="Z129" i="2"/>
  <c r="Y129" i="2"/>
  <c r="E121" i="2"/>
  <c r="N29" i="3"/>
  <c r="M29" i="3" s="1"/>
  <c r="X121" i="2" s="1"/>
  <c r="Y114" i="2"/>
  <c r="Z114" i="2"/>
  <c r="E106" i="2"/>
  <c r="N23" i="3"/>
  <c r="M23" i="3" s="1"/>
  <c r="X106" i="2" s="1"/>
  <c r="Y98" i="2"/>
  <c r="Z98" i="2"/>
  <c r="Y90" i="2"/>
  <c r="Z90" i="2"/>
  <c r="Y82" i="2"/>
  <c r="Z82" i="2"/>
  <c r="Y74" i="2"/>
  <c r="Z74" i="2"/>
  <c r="Y66" i="2"/>
  <c r="Z66" i="2"/>
  <c r="Y58" i="2"/>
  <c r="Z58" i="2"/>
  <c r="Y49" i="2"/>
  <c r="Z49" i="2"/>
  <c r="Y41" i="2"/>
  <c r="Z41" i="2"/>
  <c r="Y33" i="2"/>
  <c r="Z33" i="2"/>
  <c r="Y25" i="2"/>
  <c r="Z25" i="2"/>
  <c r="E17" i="2"/>
  <c r="N4" i="3"/>
  <c r="M4" i="3" s="1"/>
  <c r="X17" i="2" s="1"/>
  <c r="Y9" i="2"/>
  <c r="Z9" i="2"/>
  <c r="E270" i="2"/>
  <c r="N90" i="3"/>
  <c r="M90" i="3" s="1"/>
  <c r="X270" i="2" s="1"/>
  <c r="Y165" i="2"/>
  <c r="Z165" i="2"/>
  <c r="Y54" i="2"/>
  <c r="Z54" i="2"/>
  <c r="Y313" i="2"/>
  <c r="Z313" i="2"/>
  <c r="Y311" i="2"/>
  <c r="Z311" i="2"/>
  <c r="Y304" i="2"/>
  <c r="Z304" i="2"/>
  <c r="Y296" i="2"/>
  <c r="Z296" i="2"/>
  <c r="Y289" i="2"/>
  <c r="Z289" i="2"/>
  <c r="E281" i="2"/>
  <c r="N98" i="3"/>
  <c r="M98" i="3" s="1"/>
  <c r="X281" i="2" s="1"/>
  <c r="E273" i="2"/>
  <c r="N91" i="3"/>
  <c r="M91" i="3" s="1"/>
  <c r="X273" i="2" s="1"/>
  <c r="E265" i="2"/>
  <c r="N86" i="3"/>
  <c r="M86" i="3" s="1"/>
  <c r="X265" i="2" s="1"/>
  <c r="E257" i="2"/>
  <c r="N82" i="3"/>
  <c r="M82" i="3" s="1"/>
  <c r="X257" i="2" s="1"/>
  <c r="E249" i="2"/>
  <c r="N77" i="3"/>
  <c r="M77" i="3" s="1"/>
  <c r="X249" i="2" s="1"/>
  <c r="Y241" i="2"/>
  <c r="Z241" i="2"/>
  <c r="Y233" i="2"/>
  <c r="Z233" i="2"/>
  <c r="Y224" i="2"/>
  <c r="Z224" i="2"/>
  <c r="Y217" i="2"/>
  <c r="Z217" i="2"/>
  <c r="E209" i="2"/>
  <c r="N66" i="3"/>
  <c r="M66" i="3" s="1"/>
  <c r="X209" i="2" s="1"/>
  <c r="E200" i="2"/>
  <c r="N61" i="3"/>
  <c r="M61" i="3" s="1"/>
  <c r="X201" i="2" s="1"/>
  <c r="N60" i="3"/>
  <c r="M60" i="3" s="1"/>
  <c r="X200" i="2" s="1"/>
  <c r="Y192" i="2"/>
  <c r="Z192" i="2"/>
  <c r="Y184" i="2"/>
  <c r="Z184" i="2"/>
  <c r="E176" i="2"/>
  <c r="N53" i="3"/>
  <c r="M53" i="3" s="1"/>
  <c r="X176" i="2" s="1"/>
  <c r="Y168" i="2"/>
  <c r="Z168" i="2"/>
  <c r="Y160" i="2"/>
  <c r="Z160" i="2"/>
  <c r="Y152" i="2"/>
  <c r="Z152" i="2"/>
  <c r="E144" i="2"/>
  <c r="N39" i="3"/>
  <c r="M39" i="3" s="1"/>
  <c r="X144" i="2" s="1"/>
  <c r="Y136" i="2"/>
  <c r="Z136" i="2"/>
  <c r="Y128" i="2"/>
  <c r="Z128" i="2"/>
  <c r="E120" i="2"/>
  <c r="N28" i="3"/>
  <c r="M28" i="3" s="1"/>
  <c r="X120" i="2" s="1"/>
  <c r="Y113" i="2"/>
  <c r="Z113" i="2"/>
  <c r="Y105" i="2"/>
  <c r="Z105" i="2"/>
  <c r="Y97" i="2"/>
  <c r="Z97" i="2"/>
  <c r="E89" i="2"/>
  <c r="N19" i="3"/>
  <c r="M19" i="3" s="1"/>
  <c r="X89" i="2" s="1"/>
  <c r="E81" i="2"/>
  <c r="N16" i="3"/>
  <c r="M16" i="3" s="1"/>
  <c r="X81" i="2" s="1"/>
  <c r="Z73" i="2"/>
  <c r="Y73" i="2"/>
  <c r="Y65" i="2"/>
  <c r="Z65" i="2"/>
  <c r="E57" i="2"/>
  <c r="N11" i="3"/>
  <c r="M11" i="3" s="1"/>
  <c r="X57" i="2" s="1"/>
  <c r="Z48" i="2"/>
  <c r="Y48" i="2"/>
  <c r="Y40" i="2"/>
  <c r="Z40" i="2"/>
  <c r="E32" i="2"/>
  <c r="N9" i="3"/>
  <c r="M9" i="3" s="1"/>
  <c r="X32" i="2" s="1"/>
  <c r="E24" i="2"/>
  <c r="N7" i="3"/>
  <c r="M7" i="3" s="1"/>
  <c r="X24" i="2" s="1"/>
  <c r="Y16" i="2"/>
  <c r="Z16" i="2"/>
  <c r="Y8" i="2"/>
  <c r="Z8" i="2"/>
  <c r="Y254" i="2"/>
  <c r="Z254" i="2"/>
  <c r="E181" i="2"/>
  <c r="N55" i="3"/>
  <c r="M55" i="3" s="1"/>
  <c r="X181" i="2" s="1"/>
  <c r="E62" i="2"/>
  <c r="N13" i="3"/>
  <c r="M13" i="3" s="1"/>
  <c r="X62" i="2" s="1"/>
  <c r="Y305" i="2"/>
  <c r="Z305" i="2"/>
  <c r="Z318" i="2"/>
  <c r="Y318" i="2"/>
  <c r="E303" i="2"/>
  <c r="N109" i="3"/>
  <c r="M109" i="3" s="1"/>
  <c r="X303" i="2" s="1"/>
  <c r="Y288" i="2"/>
  <c r="Z288" i="2"/>
  <c r="E280" i="2"/>
  <c r="N97" i="3"/>
  <c r="M97" i="3" s="1"/>
  <c r="X280" i="2" s="1"/>
  <c r="Z272" i="2"/>
  <c r="Y272" i="2"/>
  <c r="E264" i="2"/>
  <c r="N85" i="3"/>
  <c r="M85" i="3" s="1"/>
  <c r="X264" i="2" s="1"/>
  <c r="Z256" i="2"/>
  <c r="Y256" i="2"/>
  <c r="E248" i="2"/>
  <c r="N76" i="3"/>
  <c r="M76" i="3" s="1"/>
  <c r="X248" i="2" s="1"/>
  <c r="Z240" i="2"/>
  <c r="Y240" i="2"/>
  <c r="Z232" i="2"/>
  <c r="Y232" i="2"/>
  <c r="E223" i="2"/>
  <c r="N73" i="3"/>
  <c r="M73" i="3" s="1"/>
  <c r="X223" i="2" s="1"/>
  <c r="E216" i="2"/>
  <c r="N69" i="3"/>
  <c r="M69" i="3" s="1"/>
  <c r="X216" i="2" s="1"/>
  <c r="E208" i="2"/>
  <c r="N65" i="3"/>
  <c r="M65" i="3" s="1"/>
  <c r="X208" i="2" s="1"/>
  <c r="Z199" i="2"/>
  <c r="Y199" i="2"/>
  <c r="Y191" i="2"/>
  <c r="Z191" i="2"/>
  <c r="Z183" i="2"/>
  <c r="Y183" i="2"/>
  <c r="E175" i="2"/>
  <c r="N52" i="3"/>
  <c r="M52" i="3" s="1"/>
  <c r="X175" i="2" s="1"/>
  <c r="Z167" i="2"/>
  <c r="Y167" i="2"/>
  <c r="E159" i="2"/>
  <c r="N47" i="3"/>
  <c r="M47" i="3" s="1"/>
  <c r="X159" i="2" s="1"/>
  <c r="Z151" i="2"/>
  <c r="Y151" i="2"/>
  <c r="E143" i="2"/>
  <c r="N38" i="3"/>
  <c r="M38" i="3" s="1"/>
  <c r="X143" i="2" s="1"/>
  <c r="E135" i="2"/>
  <c r="N36" i="3"/>
  <c r="M36" i="3" s="1"/>
  <c r="X135" i="2" s="1"/>
  <c r="Z127" i="2"/>
  <c r="Y127" i="2"/>
  <c r="Z119" i="2"/>
  <c r="Y119" i="2"/>
  <c r="Z112" i="2"/>
  <c r="Y112" i="2"/>
  <c r="Y104" i="2"/>
  <c r="Z104" i="2"/>
  <c r="E96" i="2"/>
  <c r="N20" i="3"/>
  <c r="M20" i="3" s="1"/>
  <c r="X96" i="2" s="1"/>
  <c r="Z88" i="2"/>
  <c r="Y88" i="2"/>
  <c r="Z80" i="2"/>
  <c r="Y80" i="2"/>
  <c r="Z72" i="2"/>
  <c r="Y72" i="2"/>
  <c r="E64" i="2"/>
  <c r="N14" i="3"/>
  <c r="M14" i="3" s="1"/>
  <c r="X64" i="2" s="1"/>
  <c r="Z56" i="2"/>
  <c r="Y56" i="2"/>
  <c r="Z47" i="2"/>
  <c r="Y47" i="2"/>
  <c r="Z39" i="2"/>
  <c r="Y39" i="2"/>
  <c r="Z31" i="2"/>
  <c r="Y31" i="2"/>
  <c r="Y23" i="2"/>
  <c r="Z23" i="2"/>
  <c r="Z15" i="2"/>
  <c r="Y15" i="2"/>
  <c r="Y7" i="2"/>
  <c r="Z7" i="2"/>
  <c r="Y301" i="2"/>
  <c r="Z301" i="2"/>
  <c r="Y238" i="2"/>
  <c r="Z238" i="2"/>
  <c r="E157" i="2"/>
  <c r="N46" i="3"/>
  <c r="M46" i="3" s="1"/>
  <c r="X157" i="2" s="1"/>
  <c r="E78" i="2"/>
  <c r="N15" i="3"/>
  <c r="M15" i="3" s="1"/>
  <c r="X78" i="2" s="1"/>
  <c r="Y299" i="2"/>
  <c r="Z299" i="2"/>
  <c r="Y319" i="2"/>
  <c r="Z319" i="2"/>
  <c r="Z310" i="2"/>
  <c r="Y310" i="2"/>
  <c r="N105" i="3"/>
  <c r="M105" i="3" s="1"/>
  <c r="Y317" i="2"/>
  <c r="Z317" i="2"/>
  <c r="E309" i="2"/>
  <c r="N111" i="3"/>
  <c r="M111" i="3" s="1"/>
  <c r="X309" i="2" s="1"/>
  <c r="E302" i="2"/>
  <c r="N108" i="3"/>
  <c r="M108" i="3" s="1"/>
  <c r="X302" i="2" s="1"/>
  <c r="E295" i="2"/>
  <c r="N104" i="3"/>
  <c r="M104" i="3" s="1"/>
  <c r="X295" i="2" s="1"/>
  <c r="E287" i="2"/>
  <c r="N102" i="3"/>
  <c r="M102" i="3" s="1"/>
  <c r="X287" i="2" s="1"/>
  <c r="E279" i="2"/>
  <c r="N96" i="3"/>
  <c r="M96" i="3" s="1"/>
  <c r="X279" i="2" s="1"/>
  <c r="Z271" i="2"/>
  <c r="Y271" i="2"/>
  <c r="Y263" i="2"/>
  <c r="Z263" i="2"/>
  <c r="E255" i="2"/>
  <c r="N81" i="3"/>
  <c r="M81" i="3" s="1"/>
  <c r="X255" i="2" s="1"/>
  <c r="Y247" i="2"/>
  <c r="Z247" i="2"/>
  <c r="Y239" i="2"/>
  <c r="Z239" i="2"/>
  <c r="Y231" i="2"/>
  <c r="Z231" i="2"/>
  <c r="Y222" i="2"/>
  <c r="Z222" i="2"/>
  <c r="E215" i="2"/>
  <c r="N68" i="3"/>
  <c r="M68" i="3" s="1"/>
  <c r="X215" i="2" s="1"/>
  <c r="Y207" i="2"/>
  <c r="Z207" i="2"/>
  <c r="Y198" i="2"/>
  <c r="Z198" i="2"/>
  <c r="Y190" i="2"/>
  <c r="Z190" i="2"/>
  <c r="Y182" i="2"/>
  <c r="Z182" i="2"/>
  <c r="E174" i="2"/>
  <c r="N51" i="3"/>
  <c r="M51" i="3" s="1"/>
  <c r="X174" i="2" s="1"/>
  <c r="Z166" i="2"/>
  <c r="Y166" i="2"/>
  <c r="Y158" i="2"/>
  <c r="Z158" i="2"/>
  <c r="Y150" i="2"/>
  <c r="Z150" i="2"/>
  <c r="Z142" i="2"/>
  <c r="Y142" i="2"/>
  <c r="Y134" i="2"/>
  <c r="Z134" i="2"/>
  <c r="Y126" i="2"/>
  <c r="Z126" i="2"/>
  <c r="N27" i="3"/>
  <c r="M27" i="3" s="1"/>
  <c r="E111" i="2"/>
  <c r="N24" i="3"/>
  <c r="M24" i="3" s="1"/>
  <c r="X111" i="2" s="1"/>
  <c r="Y103" i="2"/>
  <c r="Z103" i="2"/>
  <c r="Y95" i="2"/>
  <c r="Z95" i="2"/>
  <c r="E87" i="2"/>
  <c r="N18" i="3"/>
  <c r="M18" i="3" s="1"/>
  <c r="X87" i="2" s="1"/>
  <c r="Y79" i="2"/>
  <c r="Z79" i="2"/>
  <c r="Y71" i="2"/>
  <c r="Z71" i="2"/>
  <c r="Y63" i="2"/>
  <c r="Z63" i="2"/>
  <c r="Y55" i="2"/>
  <c r="Z55" i="2"/>
  <c r="E46" i="2"/>
  <c r="N10" i="3"/>
  <c r="M10" i="3" s="1"/>
  <c r="X46" i="2" s="1"/>
  <c r="Y38" i="2"/>
  <c r="Z38" i="2"/>
  <c r="Y30" i="2"/>
  <c r="Z30" i="2"/>
  <c r="E22" i="2"/>
  <c r="N6" i="3"/>
  <c r="M6" i="3" s="1"/>
  <c r="X22" i="2" s="1"/>
  <c r="Y14" i="2"/>
  <c r="Z14" i="2"/>
  <c r="Y6" i="2"/>
  <c r="Z6" i="2"/>
  <c r="W46" i="2" l="1"/>
  <c r="W111" i="2"/>
  <c r="W174" i="2"/>
  <c r="W257" i="2"/>
  <c r="W106" i="2"/>
  <c r="W169" i="2"/>
  <c r="W302" i="2"/>
  <c r="W266" i="2"/>
  <c r="W122" i="2"/>
  <c r="W124" i="2"/>
  <c r="W156" i="2"/>
  <c r="W188" i="2"/>
  <c r="W249" i="2"/>
  <c r="W281" i="2"/>
  <c r="W78" i="2"/>
  <c r="W135" i="2"/>
  <c r="W12" i="2"/>
  <c r="W205" i="2"/>
  <c r="W277" i="2"/>
  <c r="W264" i="2"/>
  <c r="W307" i="2"/>
  <c r="W29" i="2"/>
  <c r="W154" i="2"/>
  <c r="W186" i="2"/>
  <c r="W251" i="2"/>
  <c r="W298" i="2"/>
  <c r="W84" i="2"/>
  <c r="W303" i="2"/>
  <c r="W270" i="2"/>
  <c r="W22" i="2"/>
  <c r="W87" i="2"/>
  <c r="W215" i="2"/>
  <c r="W279" i="2"/>
  <c r="W265" i="2"/>
  <c r="W17" i="2"/>
  <c r="W99" i="2"/>
  <c r="W226" i="2"/>
  <c r="W60" i="2"/>
  <c r="W123" i="2"/>
  <c r="W64" i="2"/>
  <c r="W300" i="2"/>
  <c r="W294" i="2"/>
  <c r="W20" i="2"/>
  <c r="W117" i="2"/>
  <c r="W148" i="2"/>
  <c r="W285" i="2"/>
  <c r="W116" i="2"/>
  <c r="W209" i="2"/>
  <c r="W138" i="2"/>
  <c r="W203" i="2"/>
  <c r="W181" i="2"/>
  <c r="W24" i="2"/>
  <c r="W255" i="2"/>
  <c r="W57" i="2"/>
  <c r="W89" i="2"/>
  <c r="W120" i="2"/>
  <c r="W157" i="2"/>
  <c r="W295" i="2"/>
  <c r="W193" i="2"/>
  <c r="W258" i="2"/>
  <c r="W275" i="2"/>
  <c r="W173" i="2"/>
  <c r="W146" i="2"/>
  <c r="W178" i="2"/>
  <c r="W283" i="2"/>
  <c r="W268" i="2"/>
  <c r="W133" i="2"/>
  <c r="W143" i="2"/>
  <c r="W175" i="2"/>
  <c r="W208" i="2"/>
  <c r="W32" i="2"/>
  <c r="W147" i="2"/>
  <c r="W244" i="2"/>
  <c r="W276" i="2"/>
  <c r="W149" i="2"/>
  <c r="W216" i="2"/>
  <c r="W248" i="2"/>
  <c r="W280" i="2"/>
  <c r="W200" i="2"/>
  <c r="W261" i="2"/>
  <c r="W214" i="2"/>
  <c r="W309" i="2"/>
  <c r="P201" i="2"/>
  <c r="W201" i="2"/>
  <c r="W187" i="2"/>
  <c r="W252" i="2"/>
  <c r="W284" i="2"/>
  <c r="W206" i="2"/>
  <c r="W96" i="2"/>
  <c r="W159" i="2"/>
  <c r="W223" i="2"/>
  <c r="W62" i="2"/>
  <c r="W81" i="2"/>
  <c r="W144" i="2"/>
  <c r="W176" i="2"/>
  <c r="W287" i="2"/>
  <c r="W273" i="2"/>
  <c r="W121" i="2"/>
  <c r="W218" i="2"/>
  <c r="W250" i="2"/>
  <c r="W10" i="2"/>
  <c r="W267" i="2"/>
  <c r="W278" i="2"/>
  <c r="W131" i="2"/>
  <c r="W163" i="2"/>
  <c r="W125" i="2"/>
  <c r="P106" i="2"/>
  <c r="P169" i="2"/>
  <c r="P46" i="2"/>
  <c r="P257" i="2"/>
  <c r="AA128" i="2"/>
  <c r="P266" i="2"/>
  <c r="P22" i="2"/>
  <c r="P87" i="2"/>
  <c r="P215" i="2"/>
  <c r="P279" i="2"/>
  <c r="P309" i="2"/>
  <c r="P265" i="2"/>
  <c r="P17" i="2"/>
  <c r="P99" i="2"/>
  <c r="P226" i="2"/>
  <c r="P60" i="2"/>
  <c r="P123" i="2"/>
  <c r="P187" i="2"/>
  <c r="P252" i="2"/>
  <c r="P284" i="2"/>
  <c r="P295" i="2"/>
  <c r="P249" i="2"/>
  <c r="P281" i="2"/>
  <c r="P270" i="2"/>
  <c r="P193" i="2"/>
  <c r="P258" i="2"/>
  <c r="P275" i="2"/>
  <c r="P173" i="2"/>
  <c r="P146" i="2"/>
  <c r="P178" i="2"/>
  <c r="P200" i="2"/>
  <c r="P124" i="2"/>
  <c r="P156" i="2"/>
  <c r="P78" i="2"/>
  <c r="P135" i="2"/>
  <c r="P264" i="2"/>
  <c r="P303" i="2"/>
  <c r="P181" i="2"/>
  <c r="P24" i="2"/>
  <c r="P57" i="2"/>
  <c r="P89" i="2"/>
  <c r="P120" i="2"/>
  <c r="P12" i="2"/>
  <c r="P205" i="2"/>
  <c r="P277" i="2"/>
  <c r="P307" i="2"/>
  <c r="P29" i="2"/>
  <c r="P111" i="2"/>
  <c r="P174" i="2"/>
  <c r="P302" i="2"/>
  <c r="P122" i="2"/>
  <c r="P154" i="2"/>
  <c r="P186" i="2"/>
  <c r="P251" i="2"/>
  <c r="P298" i="2"/>
  <c r="P84" i="2"/>
  <c r="P206" i="2"/>
  <c r="P300" i="2"/>
  <c r="P283" i="2"/>
  <c r="P268" i="2"/>
  <c r="P133" i="2"/>
  <c r="P20" i="2"/>
  <c r="P117" i="2"/>
  <c r="P116" i="2"/>
  <c r="P147" i="2"/>
  <c r="P244" i="2"/>
  <c r="P276" i="2"/>
  <c r="P188" i="2"/>
  <c r="P261" i="2"/>
  <c r="P214" i="2"/>
  <c r="P157" i="2"/>
  <c r="P143" i="2"/>
  <c r="P175" i="2"/>
  <c r="P208" i="2"/>
  <c r="P32" i="2"/>
  <c r="P148" i="2"/>
  <c r="P285" i="2"/>
  <c r="P149" i="2"/>
  <c r="P216" i="2"/>
  <c r="P248" i="2"/>
  <c r="P280" i="2"/>
  <c r="P64" i="2"/>
  <c r="P96" i="2"/>
  <c r="P159" i="2"/>
  <c r="P223" i="2"/>
  <c r="P62" i="2"/>
  <c r="P81" i="2"/>
  <c r="P144" i="2"/>
  <c r="P176" i="2"/>
  <c r="P294" i="2"/>
  <c r="P255" i="2"/>
  <c r="P287" i="2"/>
  <c r="P209" i="2"/>
  <c r="P273" i="2"/>
  <c r="P121" i="2"/>
  <c r="P218" i="2"/>
  <c r="P250" i="2"/>
  <c r="P10" i="2"/>
  <c r="P138" i="2"/>
  <c r="P203" i="2"/>
  <c r="P267" i="2"/>
  <c r="P278" i="2"/>
  <c r="P100" i="2"/>
  <c r="P131" i="2"/>
  <c r="P163" i="2"/>
  <c r="P125" i="2"/>
  <c r="Z201" i="2"/>
  <c r="Y201" i="2"/>
  <c r="N201" i="2"/>
  <c r="N255" i="2"/>
  <c r="N287" i="2"/>
  <c r="N64" i="2"/>
  <c r="N96" i="2"/>
  <c r="N159" i="2"/>
  <c r="N223" i="2"/>
  <c r="N62" i="2"/>
  <c r="N81" i="2"/>
  <c r="N144" i="2"/>
  <c r="N176" i="2"/>
  <c r="N214" i="2"/>
  <c r="N100" i="2"/>
  <c r="N131" i="2"/>
  <c r="N125" i="2"/>
  <c r="N249" i="2"/>
  <c r="N281" i="2"/>
  <c r="N270" i="2"/>
  <c r="N193" i="2"/>
  <c r="N258" i="2"/>
  <c r="N10" i="2"/>
  <c r="N138" i="2"/>
  <c r="N203" i="2"/>
  <c r="N267" i="2"/>
  <c r="N278" i="2"/>
  <c r="N163" i="2"/>
  <c r="N124" i="2"/>
  <c r="N156" i="2"/>
  <c r="N188" i="2"/>
  <c r="N261" i="2"/>
  <c r="N120" i="2"/>
  <c r="N257" i="2"/>
  <c r="N106" i="2"/>
  <c r="N169" i="2"/>
  <c r="N266" i="2"/>
  <c r="N275" i="2"/>
  <c r="N173" i="2"/>
  <c r="N146" i="2"/>
  <c r="N178" i="2"/>
  <c r="N283" i="2"/>
  <c r="N268" i="2"/>
  <c r="N133" i="2"/>
  <c r="N22" i="2"/>
  <c r="N87" i="2"/>
  <c r="N215" i="2"/>
  <c r="N279" i="2"/>
  <c r="N309" i="2"/>
  <c r="N216" i="2"/>
  <c r="N248" i="2"/>
  <c r="N280" i="2"/>
  <c r="N20" i="2"/>
  <c r="N117" i="2"/>
  <c r="N148" i="2"/>
  <c r="N285" i="2"/>
  <c r="N143" i="2"/>
  <c r="N277" i="2"/>
  <c r="N200" i="2"/>
  <c r="N265" i="2"/>
  <c r="N17" i="2"/>
  <c r="N122" i="2"/>
  <c r="N154" i="2"/>
  <c r="N186" i="2"/>
  <c r="N251" i="2"/>
  <c r="N298" i="2"/>
  <c r="N84" i="2"/>
  <c r="N116" i="2"/>
  <c r="N147" i="2"/>
  <c r="N244" i="2"/>
  <c r="N276" i="2"/>
  <c r="N149" i="2"/>
  <c r="N174" i="2"/>
  <c r="N175" i="2"/>
  <c r="N32" i="2"/>
  <c r="N307" i="2"/>
  <c r="N46" i="2"/>
  <c r="N302" i="2"/>
  <c r="N12" i="2"/>
  <c r="N205" i="2"/>
  <c r="N209" i="2"/>
  <c r="N273" i="2"/>
  <c r="N121" i="2"/>
  <c r="N218" i="2"/>
  <c r="N250" i="2"/>
  <c r="N99" i="2"/>
  <c r="N226" i="2"/>
  <c r="N60" i="2"/>
  <c r="N123" i="2"/>
  <c r="N187" i="2"/>
  <c r="N252" i="2"/>
  <c r="N284" i="2"/>
  <c r="N206" i="2"/>
  <c r="N111" i="2"/>
  <c r="N157" i="2"/>
  <c r="N208" i="2"/>
  <c r="N29" i="2"/>
  <c r="N295" i="2"/>
  <c r="N78" i="2"/>
  <c r="N135" i="2"/>
  <c r="N264" i="2"/>
  <c r="N303" i="2"/>
  <c r="N181" i="2"/>
  <c r="N24" i="2"/>
  <c r="N57" i="2"/>
  <c r="N89" i="2"/>
  <c r="N300" i="2"/>
  <c r="N294" i="2"/>
  <c r="AA274" i="2"/>
  <c r="AA59" i="2"/>
  <c r="AF59" i="2" s="1"/>
  <c r="AA184" i="2"/>
  <c r="AA308" i="2"/>
  <c r="AA37" i="2"/>
  <c r="AA13" i="2"/>
  <c r="AF13" i="2" s="1"/>
  <c r="AA102" i="2"/>
  <c r="AA152" i="2"/>
  <c r="AA142" i="2"/>
  <c r="AA18" i="2"/>
  <c r="AF18" i="2" s="1"/>
  <c r="AA51" i="2"/>
  <c r="AA83" i="2"/>
  <c r="AA115" i="2"/>
  <c r="AF115" i="2" s="1"/>
  <c r="AA211" i="2"/>
  <c r="AA141" i="2"/>
  <c r="AA11" i="2"/>
  <c r="AF11" i="2" s="1"/>
  <c r="AA43" i="2"/>
  <c r="AF43" i="2" s="1"/>
  <c r="AA76" i="2"/>
  <c r="AA108" i="2"/>
  <c r="AA171" i="2"/>
  <c r="AA204" i="2"/>
  <c r="AA236" i="2"/>
  <c r="AA306" i="2"/>
  <c r="AA31" i="2"/>
  <c r="AF31" i="2" s="1"/>
  <c r="AA271" i="2"/>
  <c r="AA319" i="2"/>
  <c r="AA238" i="2"/>
  <c r="AA305" i="2"/>
  <c r="AA8" i="2"/>
  <c r="AA40" i="2"/>
  <c r="AA105" i="2"/>
  <c r="AA136" i="2"/>
  <c r="AA168" i="2"/>
  <c r="AA315" i="2"/>
  <c r="AA5" i="2"/>
  <c r="AF5" i="2" s="1"/>
  <c r="AA110" i="2"/>
  <c r="AA310" i="2"/>
  <c r="AA15" i="2"/>
  <c r="AF15" i="2" s="1"/>
  <c r="AA47" i="2"/>
  <c r="AF47" i="2" s="1"/>
  <c r="AA80" i="2"/>
  <c r="AA112" i="2"/>
  <c r="AA127" i="2"/>
  <c r="AA4" i="2"/>
  <c r="AF4" i="2" s="1"/>
  <c r="AA69" i="2"/>
  <c r="AA256" i="2"/>
  <c r="AA48" i="2"/>
  <c r="AF48" i="2" s="1"/>
  <c r="AA212" i="2"/>
  <c r="AA282" i="2"/>
  <c r="AA312" i="2"/>
  <c r="AA314" i="2"/>
  <c r="AA259" i="2"/>
  <c r="AA155" i="2"/>
  <c r="AA220" i="2"/>
  <c r="AA6" i="2"/>
  <c r="AA240" i="2"/>
  <c r="AA272" i="2"/>
  <c r="AA318" i="2"/>
  <c r="AA217" i="2"/>
  <c r="AA311" i="2"/>
  <c r="AA33" i="2"/>
  <c r="AA66" i="2"/>
  <c r="AF66" i="2" s="1"/>
  <c r="AA98" i="2"/>
  <c r="AA161" i="2"/>
  <c r="AA225" i="2"/>
  <c r="AA290" i="2"/>
  <c r="AA3" i="2"/>
  <c r="AA70" i="2"/>
  <c r="AF70" i="2" s="1"/>
  <c r="AA42" i="2"/>
  <c r="AA75" i="2"/>
  <c r="AF75" i="2" s="1"/>
  <c r="AA170" i="2"/>
  <c r="AA235" i="2"/>
  <c r="AA94" i="2"/>
  <c r="AA35" i="2"/>
  <c r="AA68" i="2"/>
  <c r="AA195" i="2"/>
  <c r="AA260" i="2"/>
  <c r="AA292" i="2"/>
  <c r="AA38" i="2"/>
  <c r="AF38" i="2" s="1"/>
  <c r="AA56" i="2"/>
  <c r="AA88" i="2"/>
  <c r="AA119" i="2"/>
  <c r="AA297" i="2"/>
  <c r="AA233" i="2"/>
  <c r="AA296" i="2"/>
  <c r="AA54" i="2"/>
  <c r="AF54" i="2" s="1"/>
  <c r="AA49" i="2"/>
  <c r="AA82" i="2"/>
  <c r="AA114" i="2"/>
  <c r="AA145" i="2"/>
  <c r="AA177" i="2"/>
  <c r="AA210" i="2"/>
  <c r="AA219" i="2"/>
  <c r="AA189" i="2"/>
  <c r="AA19" i="2"/>
  <c r="AF19" i="2" s="1"/>
  <c r="AA52" i="2"/>
  <c r="AF52" i="2" s="1"/>
  <c r="AA241" i="2"/>
  <c r="AA304" i="2"/>
  <c r="AA165" i="2"/>
  <c r="AA25" i="2"/>
  <c r="AA58" i="2"/>
  <c r="AF58" i="2" s="1"/>
  <c r="AA90" i="2"/>
  <c r="AA153" i="2"/>
  <c r="AA185" i="2"/>
  <c r="AA316" i="2"/>
  <c r="AA34" i="2"/>
  <c r="AA67" i="2"/>
  <c r="AA130" i="2"/>
  <c r="AA162" i="2"/>
  <c r="AA194" i="2"/>
  <c r="AA45" i="2"/>
  <c r="AF45" i="2" s="1"/>
  <c r="AA229" i="2"/>
  <c r="AA27" i="2"/>
  <c r="AF27" i="2" s="1"/>
  <c r="AA92" i="2"/>
  <c r="AF92" i="2" s="1"/>
  <c r="AA71" i="2"/>
  <c r="AA103" i="2"/>
  <c r="AF103" i="2" s="1"/>
  <c r="AA134" i="2"/>
  <c r="AA198" i="2"/>
  <c r="AA231" i="2"/>
  <c r="AA263" i="2"/>
  <c r="AA7" i="2"/>
  <c r="AF7" i="2" s="1"/>
  <c r="AA104" i="2"/>
  <c r="AA101" i="2"/>
  <c r="AA164" i="2"/>
  <c r="AA196" i="2"/>
  <c r="AA237" i="2"/>
  <c r="AA269" i="2"/>
  <c r="AA21" i="2"/>
  <c r="Y12" i="2"/>
  <c r="Z12" i="2"/>
  <c r="Y205" i="2"/>
  <c r="Z205" i="2"/>
  <c r="Y277" i="2"/>
  <c r="Z277" i="2"/>
  <c r="Y307" i="2"/>
  <c r="Z307" i="2"/>
  <c r="Y29" i="2"/>
  <c r="Z29" i="2"/>
  <c r="Y174" i="2"/>
  <c r="Z174" i="2"/>
  <c r="X221" i="2"/>
  <c r="W221" i="2" s="1"/>
  <c r="AA14" i="2"/>
  <c r="AF14" i="2" s="1"/>
  <c r="AA79" i="2"/>
  <c r="AF79" i="2" s="1"/>
  <c r="AA207" i="2"/>
  <c r="AA239" i="2"/>
  <c r="AA254" i="2"/>
  <c r="AA65" i="2"/>
  <c r="AF65" i="2" s="1"/>
  <c r="AA97" i="2"/>
  <c r="AA160" i="2"/>
  <c r="AA192" i="2"/>
  <c r="Y257" i="2"/>
  <c r="Z257" i="2"/>
  <c r="Y106" i="2"/>
  <c r="Z106" i="2"/>
  <c r="Y169" i="2"/>
  <c r="Z169" i="2"/>
  <c r="Y266" i="2"/>
  <c r="Z266" i="2"/>
  <c r="Y275" i="2"/>
  <c r="Z275" i="2"/>
  <c r="Y173" i="2"/>
  <c r="Z173" i="2"/>
  <c r="Y146" i="2"/>
  <c r="Z146" i="2"/>
  <c r="Y178" i="2"/>
  <c r="Z178" i="2"/>
  <c r="AA243" i="2"/>
  <c r="Y283" i="2"/>
  <c r="Z283" i="2"/>
  <c r="AA139" i="2"/>
  <c r="AF139" i="2" s="1"/>
  <c r="Y268" i="2"/>
  <c r="Z268" i="2"/>
  <c r="Y133" i="2"/>
  <c r="Z133" i="2"/>
  <c r="AA44" i="2"/>
  <c r="AA77" i="2"/>
  <c r="AA109" i="2"/>
  <c r="AF109" i="2" s="1"/>
  <c r="AA140" i="2"/>
  <c r="AA172" i="2"/>
  <c r="AA245" i="2"/>
  <c r="AA286" i="2"/>
  <c r="Y46" i="2"/>
  <c r="Z46" i="2"/>
  <c r="Y143" i="2"/>
  <c r="Z143" i="2"/>
  <c r="X118" i="2"/>
  <c r="W118" i="2" s="1"/>
  <c r="Y215" i="2"/>
  <c r="Z215" i="2"/>
  <c r="Y279" i="2"/>
  <c r="Z279" i="2"/>
  <c r="Y309" i="2"/>
  <c r="Z309" i="2"/>
  <c r="AA151" i="2"/>
  <c r="AA183" i="2"/>
  <c r="Y216" i="2"/>
  <c r="Z216" i="2"/>
  <c r="Y248" i="2"/>
  <c r="Z248" i="2"/>
  <c r="Y280" i="2"/>
  <c r="Z280" i="2"/>
  <c r="AA73" i="2"/>
  <c r="Y200" i="2"/>
  <c r="Z200" i="2"/>
  <c r="AA224" i="2"/>
  <c r="AA289" i="2"/>
  <c r="AA313" i="2"/>
  <c r="AA9" i="2"/>
  <c r="AA41" i="2"/>
  <c r="AF41" i="2" s="1"/>
  <c r="AA74" i="2"/>
  <c r="AF74" i="2" s="1"/>
  <c r="AA137" i="2"/>
  <c r="AA202" i="2"/>
  <c r="AA234" i="2"/>
  <c r="Y20" i="2"/>
  <c r="Z20" i="2"/>
  <c r="Y117" i="2"/>
  <c r="Z117" i="2"/>
  <c r="Y148" i="2"/>
  <c r="Z148" i="2"/>
  <c r="Y285" i="2"/>
  <c r="Z285" i="2"/>
  <c r="Y302" i="2"/>
  <c r="Z302" i="2"/>
  <c r="Y32" i="2"/>
  <c r="Z32" i="2"/>
  <c r="Y87" i="2"/>
  <c r="Z87" i="2"/>
  <c r="AA55" i="2"/>
  <c r="AA150" i="2"/>
  <c r="AA182" i="2"/>
  <c r="AA247" i="2"/>
  <c r="AA23" i="2"/>
  <c r="Y265" i="2"/>
  <c r="Z265" i="2"/>
  <c r="Y17" i="2"/>
  <c r="Z17" i="2"/>
  <c r="Y122" i="2"/>
  <c r="Z122" i="2"/>
  <c r="Y154" i="2"/>
  <c r="Z154" i="2"/>
  <c r="Y186" i="2"/>
  <c r="Z186" i="2"/>
  <c r="Y251" i="2"/>
  <c r="Z251" i="2"/>
  <c r="Y298" i="2"/>
  <c r="Z298" i="2"/>
  <c r="Y84" i="2"/>
  <c r="Z84" i="2"/>
  <c r="Y116" i="2"/>
  <c r="Z116" i="2"/>
  <c r="Y147" i="2"/>
  <c r="Z147" i="2"/>
  <c r="AA179" i="2"/>
  <c r="Y244" i="2"/>
  <c r="Z244" i="2"/>
  <c r="Y276" i="2"/>
  <c r="Z276" i="2"/>
  <c r="AA86" i="2"/>
  <c r="AF86" i="2" s="1"/>
  <c r="Y149" i="2"/>
  <c r="Z149" i="2"/>
  <c r="AA262" i="2"/>
  <c r="AA53" i="2"/>
  <c r="AF53" i="2" s="1"/>
  <c r="AA85" i="2"/>
  <c r="AA180" i="2"/>
  <c r="AA213" i="2"/>
  <c r="AA253" i="2"/>
  <c r="Y287" i="2"/>
  <c r="Z287" i="2"/>
  <c r="Y64" i="2"/>
  <c r="Z64" i="2"/>
  <c r="Y96" i="2"/>
  <c r="Z96" i="2"/>
  <c r="Y159" i="2"/>
  <c r="Z159" i="2"/>
  <c r="Y223" i="2"/>
  <c r="Z223" i="2"/>
  <c r="Y62" i="2"/>
  <c r="Z62" i="2"/>
  <c r="Y81" i="2"/>
  <c r="Z81" i="2"/>
  <c r="Y144" i="2"/>
  <c r="Z144" i="2"/>
  <c r="Y176" i="2"/>
  <c r="Z176" i="2"/>
  <c r="AA242" i="2"/>
  <c r="AA291" i="2"/>
  <c r="AA246" i="2"/>
  <c r="AA26" i="2"/>
  <c r="AA91" i="2"/>
  <c r="AF91" i="2" s="1"/>
  <c r="Y124" i="2"/>
  <c r="Z124" i="2"/>
  <c r="Y156" i="2"/>
  <c r="Z156" i="2"/>
  <c r="Y188" i="2"/>
  <c r="Z188" i="2"/>
  <c r="Y261" i="2"/>
  <c r="Z261" i="2"/>
  <c r="Y214" i="2"/>
  <c r="Z214" i="2"/>
  <c r="Y157" i="2"/>
  <c r="Z157" i="2"/>
  <c r="Y175" i="2"/>
  <c r="Z175" i="2"/>
  <c r="Y22" i="2"/>
  <c r="Z22" i="2"/>
  <c r="Y255" i="2"/>
  <c r="Z255" i="2"/>
  <c r="AA30" i="2"/>
  <c r="AA63" i="2"/>
  <c r="AF63" i="2" s="1"/>
  <c r="AA95" i="2"/>
  <c r="AF95" i="2" s="1"/>
  <c r="AA126" i="2"/>
  <c r="AA158" i="2"/>
  <c r="AF158" i="2" s="1"/>
  <c r="AA190" i="2"/>
  <c r="AA222" i="2"/>
  <c r="AA317" i="2"/>
  <c r="AA299" i="2"/>
  <c r="AA301" i="2"/>
  <c r="AA191" i="2"/>
  <c r="AA288" i="2"/>
  <c r="AA16" i="2"/>
  <c r="AA113" i="2"/>
  <c r="Y209" i="2"/>
  <c r="Z209" i="2"/>
  <c r="Y273" i="2"/>
  <c r="Z273" i="2"/>
  <c r="Y121" i="2"/>
  <c r="Z121" i="2"/>
  <c r="Y218" i="2"/>
  <c r="Z218" i="2"/>
  <c r="Y250" i="2"/>
  <c r="Z250" i="2"/>
  <c r="Y99" i="2"/>
  <c r="Z99" i="2"/>
  <c r="Y226" i="2"/>
  <c r="Z226" i="2"/>
  <c r="Y60" i="2"/>
  <c r="Z60" i="2"/>
  <c r="Y123" i="2"/>
  <c r="Z123" i="2"/>
  <c r="Y187" i="2"/>
  <c r="Z187" i="2"/>
  <c r="Y252" i="2"/>
  <c r="Z252" i="2"/>
  <c r="Y284" i="2"/>
  <c r="Z284" i="2"/>
  <c r="Y206" i="2"/>
  <c r="Z206" i="2"/>
  <c r="AA28" i="2"/>
  <c r="AA61" i="2"/>
  <c r="AA93" i="2"/>
  <c r="AF93" i="2" s="1"/>
  <c r="AA228" i="2"/>
  <c r="AA293" i="2"/>
  <c r="Y111" i="2"/>
  <c r="Z111" i="2"/>
  <c r="Y208" i="2"/>
  <c r="Z208" i="2"/>
  <c r="AA166" i="2"/>
  <c r="Y295" i="2"/>
  <c r="Z295" i="2"/>
  <c r="Y78" i="2"/>
  <c r="Z78" i="2"/>
  <c r="AA39" i="2"/>
  <c r="AA72" i="2"/>
  <c r="Y135" i="2"/>
  <c r="Z135" i="2"/>
  <c r="AA167" i="2"/>
  <c r="AA199" i="2"/>
  <c r="AA232" i="2"/>
  <c r="Y264" i="2"/>
  <c r="Z264" i="2"/>
  <c r="Y303" i="2"/>
  <c r="Z303" i="2"/>
  <c r="Y181" i="2"/>
  <c r="Z181" i="2"/>
  <c r="Y24" i="2"/>
  <c r="Z24" i="2"/>
  <c r="Y57" i="2"/>
  <c r="Z57" i="2"/>
  <c r="Y89" i="2"/>
  <c r="Z89" i="2"/>
  <c r="Y120" i="2"/>
  <c r="Z120" i="2"/>
  <c r="AA36" i="2"/>
  <c r="AF36" i="2" s="1"/>
  <c r="AA132" i="2"/>
  <c r="Y300" i="2"/>
  <c r="Z300" i="2"/>
  <c r="AA197" i="2"/>
  <c r="Y294" i="2"/>
  <c r="Z294" i="2"/>
  <c r="Y249" i="2"/>
  <c r="Z249" i="2"/>
  <c r="Y281" i="2"/>
  <c r="Z281" i="2"/>
  <c r="Y270" i="2"/>
  <c r="Z270" i="2"/>
  <c r="AA129" i="2"/>
  <c r="Y193" i="2"/>
  <c r="Z193" i="2"/>
  <c r="Y258" i="2"/>
  <c r="Z258" i="2"/>
  <c r="Y10" i="2"/>
  <c r="Z10" i="2"/>
  <c r="AA107" i="2"/>
  <c r="Y138" i="2"/>
  <c r="Z138" i="2"/>
  <c r="Y203" i="2"/>
  <c r="Z203" i="2"/>
  <c r="Y267" i="2"/>
  <c r="Z267" i="2"/>
  <c r="Y278" i="2"/>
  <c r="Z278" i="2"/>
  <c r="Y100" i="2"/>
  <c r="Z100" i="2"/>
  <c r="Y131" i="2"/>
  <c r="Z131" i="2"/>
  <c r="Y163" i="2"/>
  <c r="Z163" i="2"/>
  <c r="AA227" i="2"/>
  <c r="Y125" i="2"/>
  <c r="Z125" i="2"/>
  <c r="AF128" i="2" l="1"/>
  <c r="AF61" i="2"/>
  <c r="AF179" i="2"/>
  <c r="AF153" i="2"/>
  <c r="AF107" i="2"/>
  <c r="AF227" i="2"/>
  <c r="AF39" i="2"/>
  <c r="AF222" i="2"/>
  <c r="AF253" i="2"/>
  <c r="AF73" i="2"/>
  <c r="AF151" i="2"/>
  <c r="AF140" i="2"/>
  <c r="AF164" i="2"/>
  <c r="AF130" i="2"/>
  <c r="AF25" i="2"/>
  <c r="AF210" i="2"/>
  <c r="AF233" i="2"/>
  <c r="AF195" i="2"/>
  <c r="AF311" i="2"/>
  <c r="AF259" i="2"/>
  <c r="AF238" i="2"/>
  <c r="AF108" i="2"/>
  <c r="AF51" i="2"/>
  <c r="AF184" i="2"/>
  <c r="AF170" i="2"/>
  <c r="AF113" i="2"/>
  <c r="AF190" i="2"/>
  <c r="AF213" i="2"/>
  <c r="AF254" i="2"/>
  <c r="AF101" i="2"/>
  <c r="AF71" i="2"/>
  <c r="AF67" i="2"/>
  <c r="AF165" i="2"/>
  <c r="AF177" i="2"/>
  <c r="AF297" i="2"/>
  <c r="AF68" i="2"/>
  <c r="AF217" i="2"/>
  <c r="AF314" i="2"/>
  <c r="AF127" i="2"/>
  <c r="AF315" i="2"/>
  <c r="AF319" i="2"/>
  <c r="AF76" i="2"/>
  <c r="AF98" i="2"/>
  <c r="AF236" i="2"/>
  <c r="AF132" i="2"/>
  <c r="AF232" i="2"/>
  <c r="AF293" i="2"/>
  <c r="AF16" i="2"/>
  <c r="AF26" i="2"/>
  <c r="AF180" i="2"/>
  <c r="AF23" i="2"/>
  <c r="AF9" i="2"/>
  <c r="AF77" i="2"/>
  <c r="AF239" i="2"/>
  <c r="AF104" i="2"/>
  <c r="AF34" i="2"/>
  <c r="AF304" i="2"/>
  <c r="AF145" i="2"/>
  <c r="AF119" i="2"/>
  <c r="AF35" i="2"/>
  <c r="AF290" i="2"/>
  <c r="AF318" i="2"/>
  <c r="AF312" i="2"/>
  <c r="AF112" i="2"/>
  <c r="AF168" i="2"/>
  <c r="AF271" i="2"/>
  <c r="AF142" i="2"/>
  <c r="AF274" i="2"/>
  <c r="AF234" i="2"/>
  <c r="AF286" i="2"/>
  <c r="AF160" i="2"/>
  <c r="AF40" i="2"/>
  <c r="AF199" i="2"/>
  <c r="AF228" i="2"/>
  <c r="AF288" i="2"/>
  <c r="AF126" i="2"/>
  <c r="AF246" i="2"/>
  <c r="AF85" i="2"/>
  <c r="AF247" i="2"/>
  <c r="AF313" i="2"/>
  <c r="AF44" i="2"/>
  <c r="AF243" i="2"/>
  <c r="AF207" i="2"/>
  <c r="AF316" i="2"/>
  <c r="AF241" i="2"/>
  <c r="AF114" i="2"/>
  <c r="AF88" i="2"/>
  <c r="AF94" i="2"/>
  <c r="AF225" i="2"/>
  <c r="AF272" i="2"/>
  <c r="AF282" i="2"/>
  <c r="AF80" i="2"/>
  <c r="AF136" i="2"/>
  <c r="AF152" i="2"/>
  <c r="AF242" i="2"/>
  <c r="AF224" i="2"/>
  <c r="AF231" i="2"/>
  <c r="AF167" i="2"/>
  <c r="AF191" i="2"/>
  <c r="AF291" i="2"/>
  <c r="AF182" i="2"/>
  <c r="AF289" i="2"/>
  <c r="AF192" i="2"/>
  <c r="AF21" i="2"/>
  <c r="AF263" i="2"/>
  <c r="AF229" i="2"/>
  <c r="AF185" i="2"/>
  <c r="AF82" i="2"/>
  <c r="AF56" i="2"/>
  <c r="AF235" i="2"/>
  <c r="AF161" i="2"/>
  <c r="AF240" i="2"/>
  <c r="AF212" i="2"/>
  <c r="AF105" i="2"/>
  <c r="AF306" i="2"/>
  <c r="AF141" i="2"/>
  <c r="AF102" i="2"/>
  <c r="AF166" i="2"/>
  <c r="AF301" i="2"/>
  <c r="AF262" i="2"/>
  <c r="AF269" i="2"/>
  <c r="AF49" i="2"/>
  <c r="AF211" i="2"/>
  <c r="AF129" i="2"/>
  <c r="AF28" i="2"/>
  <c r="AF299" i="2"/>
  <c r="AF30" i="2"/>
  <c r="AF55" i="2"/>
  <c r="AF202" i="2"/>
  <c r="AF245" i="2"/>
  <c r="AF237" i="2"/>
  <c r="AF198" i="2"/>
  <c r="AF194" i="2"/>
  <c r="AF90" i="2"/>
  <c r="AF189" i="2"/>
  <c r="AF292" i="2"/>
  <c r="AF220" i="2"/>
  <c r="AF256" i="2"/>
  <c r="AF310" i="2"/>
  <c r="AF8" i="2"/>
  <c r="AF204" i="2"/>
  <c r="AF37" i="2"/>
  <c r="AF150" i="2"/>
  <c r="AF6" i="2"/>
  <c r="AF197" i="2"/>
  <c r="AF72" i="2"/>
  <c r="AF317" i="2"/>
  <c r="AF137" i="2"/>
  <c r="AF183" i="2"/>
  <c r="AF172" i="2"/>
  <c r="AF97" i="2"/>
  <c r="AF196" i="2"/>
  <c r="AF134" i="2"/>
  <c r="AF162" i="2"/>
  <c r="AF219" i="2"/>
  <c r="AF296" i="2"/>
  <c r="AF260" i="2"/>
  <c r="AF42" i="2"/>
  <c r="AF33" i="2"/>
  <c r="AF155" i="2"/>
  <c r="AF69" i="2"/>
  <c r="AF110" i="2"/>
  <c r="AF305" i="2"/>
  <c r="AF171" i="2"/>
  <c r="AF83" i="2"/>
  <c r="AF308" i="2"/>
  <c r="AF3" i="2"/>
  <c r="N118" i="2"/>
  <c r="P118" i="2"/>
  <c r="N221" i="2"/>
  <c r="P221" i="2"/>
  <c r="AA201" i="2"/>
  <c r="AA284" i="2"/>
  <c r="AA100" i="2"/>
  <c r="AA294" i="2"/>
  <c r="AA135" i="2"/>
  <c r="AA295" i="2"/>
  <c r="AA252" i="2"/>
  <c r="AA226" i="2"/>
  <c r="AA121" i="2"/>
  <c r="AA175" i="2"/>
  <c r="AA188" i="2"/>
  <c r="AA81" i="2"/>
  <c r="AF81" i="2" s="1"/>
  <c r="AA275" i="2"/>
  <c r="AA257" i="2"/>
  <c r="AA29" i="2"/>
  <c r="AA12" i="2"/>
  <c r="AA133" i="2"/>
  <c r="AA178" i="2"/>
  <c r="AA266" i="2"/>
  <c r="AA307" i="2"/>
  <c r="AA278" i="2"/>
  <c r="AA270" i="2"/>
  <c r="AA10" i="2"/>
  <c r="AF10" i="2" s="1"/>
  <c r="AA300" i="2"/>
  <c r="AA57" i="2"/>
  <c r="AF57" i="2" s="1"/>
  <c r="AA264" i="2"/>
  <c r="AA208" i="2"/>
  <c r="AA285" i="2"/>
  <c r="AA216" i="2"/>
  <c r="AA215" i="2"/>
  <c r="AA32" i="2"/>
  <c r="AA117" i="2"/>
  <c r="AA280" i="2"/>
  <c r="AA96" i="2"/>
  <c r="AA84" i="2"/>
  <c r="AA154" i="2"/>
  <c r="AA138" i="2"/>
  <c r="AA267" i="2"/>
  <c r="AA206" i="2"/>
  <c r="AA124" i="2"/>
  <c r="AA17" i="2"/>
  <c r="AA268" i="2"/>
  <c r="AA125" i="2"/>
  <c r="AF125" i="2" s="1"/>
  <c r="AA89" i="2"/>
  <c r="AA303" i="2"/>
  <c r="AA244" i="2"/>
  <c r="AA302" i="2"/>
  <c r="AA20" i="2"/>
  <c r="AA248" i="2"/>
  <c r="AA279" i="2"/>
  <c r="AA46" i="2"/>
  <c r="AA123" i="2"/>
  <c r="AA176" i="2"/>
  <c r="AA251" i="2"/>
  <c r="AA169" i="2"/>
  <c r="AA187" i="2"/>
  <c r="AA99" i="2"/>
  <c r="AA273" i="2"/>
  <c r="AA157" i="2"/>
  <c r="AA156" i="2"/>
  <c r="AA62" i="2"/>
  <c r="AA64" i="2"/>
  <c r="AA298" i="2"/>
  <c r="AA122" i="2"/>
  <c r="AA250" i="2"/>
  <c r="AA287" i="2"/>
  <c r="Y118" i="2"/>
  <c r="Z118" i="2"/>
  <c r="AA277" i="2"/>
  <c r="AA258" i="2"/>
  <c r="AA24" i="2"/>
  <c r="AF24" i="2" s="1"/>
  <c r="AA111" i="2"/>
  <c r="AA87" i="2"/>
  <c r="AA148" i="2"/>
  <c r="AA78" i="2"/>
  <c r="AF78" i="2" s="1"/>
  <c r="AA255" i="2"/>
  <c r="AA149" i="2"/>
  <c r="AA200" i="2"/>
  <c r="AA131" i="2"/>
  <c r="AF131" i="2" s="1"/>
  <c r="AA249" i="2"/>
  <c r="AA60" i="2"/>
  <c r="AA218" i="2"/>
  <c r="AA22" i="2"/>
  <c r="AF22" i="2" s="1"/>
  <c r="AA261" i="2"/>
  <c r="AA144" i="2"/>
  <c r="AA159" i="2"/>
  <c r="AA116" i="2"/>
  <c r="AA186" i="2"/>
  <c r="AA265" i="2"/>
  <c r="AA173" i="2"/>
  <c r="AA106" i="2"/>
  <c r="AF106" i="2" s="1"/>
  <c r="AA174" i="2"/>
  <c r="AA205" i="2"/>
  <c r="AA163" i="2"/>
  <c r="AA214" i="2"/>
  <c r="AA147" i="2"/>
  <c r="Y221" i="2"/>
  <c r="Z221" i="2"/>
  <c r="AA203" i="2"/>
  <c r="AA193" i="2"/>
  <c r="AA120" i="2"/>
  <c r="AA181" i="2"/>
  <c r="AF181" i="2" s="1"/>
  <c r="AA276" i="2"/>
  <c r="AA309" i="2"/>
  <c r="AA143" i="2"/>
  <c r="AF143" i="2" s="1"/>
  <c r="AA283" i="2"/>
  <c r="AA281" i="2"/>
  <c r="AA209" i="2"/>
  <c r="AA223" i="2"/>
  <c r="AA146" i="2"/>
  <c r="AF277" i="2" l="1"/>
  <c r="AF62" i="2"/>
  <c r="AF176" i="2"/>
  <c r="AF303" i="2"/>
  <c r="AF138" i="2"/>
  <c r="AF216" i="2"/>
  <c r="AF278" i="2"/>
  <c r="AF275" i="2"/>
  <c r="AF135" i="2"/>
  <c r="AF214" i="2"/>
  <c r="AF208" i="2"/>
  <c r="AF188" i="2"/>
  <c r="AF100" i="2"/>
  <c r="AF265" i="2"/>
  <c r="AF309" i="2"/>
  <c r="AF249" i="2"/>
  <c r="AF154" i="2"/>
  <c r="AF307" i="2"/>
  <c r="AF276" i="2"/>
  <c r="AF116" i="2"/>
  <c r="AF157" i="2"/>
  <c r="AF46" i="2"/>
  <c r="AF84" i="2"/>
  <c r="AF266" i="2"/>
  <c r="AF146" i="2"/>
  <c r="AF163" i="2"/>
  <c r="AF159" i="2"/>
  <c r="AF200" i="2"/>
  <c r="AF148" i="2"/>
  <c r="AF287" i="2"/>
  <c r="AF273" i="2"/>
  <c r="AF279" i="2"/>
  <c r="AF268" i="2"/>
  <c r="AF96" i="2"/>
  <c r="AF264" i="2"/>
  <c r="AF178" i="2"/>
  <c r="AF175" i="2"/>
  <c r="AF284" i="2"/>
  <c r="AF89" i="2"/>
  <c r="AF285" i="2"/>
  <c r="AF294" i="2"/>
  <c r="AF248" i="2"/>
  <c r="AF205" i="2"/>
  <c r="AF87" i="2"/>
  <c r="AF17" i="2"/>
  <c r="AF133" i="2"/>
  <c r="AF255" i="2"/>
  <c r="AF117" i="2"/>
  <c r="AF186" i="2"/>
  <c r="AF156" i="2"/>
  <c r="AF120" i="2"/>
  <c r="AF149" i="2"/>
  <c r="AF99" i="2"/>
  <c r="AF280" i="2"/>
  <c r="AF201" i="2"/>
  <c r="AF193" i="2"/>
  <c r="AF261" i="2"/>
  <c r="AF122" i="2"/>
  <c r="AF20" i="2"/>
  <c r="AF300" i="2"/>
  <c r="AF226" i="2"/>
  <c r="AF298" i="2"/>
  <c r="AF32" i="2"/>
  <c r="AF60" i="2"/>
  <c r="AF147" i="2"/>
  <c r="AF123" i="2"/>
  <c r="AF223" i="2"/>
  <c r="AF144" i="2"/>
  <c r="AF250" i="2"/>
  <c r="AF121" i="2"/>
  <c r="AF209" i="2"/>
  <c r="AF174" i="2"/>
  <c r="AF111" i="2"/>
  <c r="AF187" i="2"/>
  <c r="AF124" i="2"/>
  <c r="AF12" i="2"/>
  <c r="AF281" i="2"/>
  <c r="AF203" i="2"/>
  <c r="AF169" i="2"/>
  <c r="AF302" i="2"/>
  <c r="AF206" i="2"/>
  <c r="AF29" i="2"/>
  <c r="AF252" i="2"/>
  <c r="AF283" i="2"/>
  <c r="AF173" i="2"/>
  <c r="AF218" i="2"/>
  <c r="AF258" i="2"/>
  <c r="AF64" i="2"/>
  <c r="AF251" i="2"/>
  <c r="AF244" i="2"/>
  <c r="AF267" i="2"/>
  <c r="AF215" i="2"/>
  <c r="AF270" i="2"/>
  <c r="AF257" i="2"/>
  <c r="AF295" i="2"/>
  <c r="AA118" i="2"/>
  <c r="AF118" i="2" s="1"/>
  <c r="AA221" i="2"/>
  <c r="AF221" i="2" s="1"/>
  <c r="AA1" i="2" l="1"/>
  <c r="AI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Korhan Özbülbül</author>
  </authors>
  <commentList>
    <comment ref="AE147" authorId="0" shapeId="0" xr:uid="{32C56473-2E4E-40E5-9A30-3E1FF37B5326}">
      <text>
        <r>
          <rPr>
            <b/>
            <sz val="9"/>
            <color indexed="81"/>
            <rFont val="Tahoma"/>
            <family val="2"/>
            <charset val="162"/>
          </rPr>
          <t>Korhan Özbülbül:</t>
        </r>
        <r>
          <rPr>
            <sz val="9"/>
            <color indexed="81"/>
            <rFont val="Tahoma"/>
            <family val="2"/>
            <charset val="162"/>
          </rPr>
          <t xml:space="preserve">
cenk bey ile ik'dan gelen kademe bilgisine göre yazıldı</t>
        </r>
      </text>
    </comment>
  </commentList>
</comments>
</file>

<file path=xl/sharedStrings.xml><?xml version="1.0" encoding="utf-8"?>
<sst xmlns="http://schemas.openxmlformats.org/spreadsheetml/2006/main" count="4695" uniqueCount="551">
  <si>
    <t>COŞKUN TEKİNASLAN</t>
  </si>
  <si>
    <t>İhsarat Grup Lideri</t>
  </si>
  <si>
    <t>MURAT MENTEŞOĞLU</t>
  </si>
  <si>
    <t>Üretim Ekip Lideri</t>
  </si>
  <si>
    <t>ŞAHİN ŞAHİN</t>
  </si>
  <si>
    <t>Bakım Ekip Lideri</t>
  </si>
  <si>
    <t>ARGÜN KAPLAN</t>
  </si>
  <si>
    <t>Yükleme Boşaltma Opr. (Hammadde)</t>
  </si>
  <si>
    <t>RAMAZAN BALCI</t>
  </si>
  <si>
    <t>YAVUZ YILMAM</t>
  </si>
  <si>
    <t>Ring Bobin Setup Operatörü</t>
  </si>
  <si>
    <t>MUHAMMED GÜMÜŞ</t>
  </si>
  <si>
    <t>Mekanik Bakım Takım Lideri Yardımcısı</t>
  </si>
  <si>
    <t>MAHMUT MENTEŞ</t>
  </si>
  <si>
    <t>MEHMET KÖSE</t>
  </si>
  <si>
    <t>Makine Temizlik Takım Lideri</t>
  </si>
  <si>
    <t>VEYSAL DURMUŞ</t>
  </si>
  <si>
    <t>AKIN ÖZTÜRK</t>
  </si>
  <si>
    <t>AHMET YÖRÜK</t>
  </si>
  <si>
    <t>NURETTİN YILMAM</t>
  </si>
  <si>
    <t>Paketleme Ambalaj Takım Lideri</t>
  </si>
  <si>
    <t>BEKİR GÖKÇÜOĞLU</t>
  </si>
  <si>
    <t>Katlama Büküm Takım Lideri Yardımcısı</t>
  </si>
  <si>
    <t>HAŞİM BAŞARAN</t>
  </si>
  <si>
    <t>Mekanik Bakım Operatörü</t>
  </si>
  <si>
    <t>ÖMER KARACA</t>
  </si>
  <si>
    <t>Katlama Büküm Takım Lideri</t>
  </si>
  <si>
    <t>HASAN GÜLEÇ</t>
  </si>
  <si>
    <t>Mekanik Bakım Takım Lideri</t>
  </si>
  <si>
    <t>HÜDAİ ELİUZ</t>
  </si>
  <si>
    <t>Open End Takım Lideri Yardımcısı</t>
  </si>
  <si>
    <t>ŞABAN ATSIZ</t>
  </si>
  <si>
    <t>MUSTAFA EMREM</t>
  </si>
  <si>
    <t>RECAİ ELİUZ</t>
  </si>
  <si>
    <t>Ring Bobin Setup Takım Lideri Yardımcısı</t>
  </si>
  <si>
    <t>ALİ DİNGER</t>
  </si>
  <si>
    <t>Elektrik Bakım Takım Lideri</t>
  </si>
  <si>
    <t>MEHMET KÖK</t>
  </si>
  <si>
    <t>Rektefiye Operatörü</t>
  </si>
  <si>
    <t>ÜMİT ALTINTAŞ</t>
  </si>
  <si>
    <t>MUSTAFA BERBEROĞLU</t>
  </si>
  <si>
    <t>ALİ KÜÇÜK</t>
  </si>
  <si>
    <t>Paketleme Ambalaj Takım Lideri Yardımcıs</t>
  </si>
  <si>
    <t>RAMAZAN ÖZDEMİR</t>
  </si>
  <si>
    <t>Proses Kontrol Operatörü</t>
  </si>
  <si>
    <t>ADNAN DAĞLI</t>
  </si>
  <si>
    <t>Katlama Büküm Operatörü</t>
  </si>
  <si>
    <t>ÖZCAN TAŞÇI</t>
  </si>
  <si>
    <t>Ring Bobin Setup Takım Lideri</t>
  </si>
  <si>
    <t>REMZİ YAVUZ</t>
  </si>
  <si>
    <t>YUSUF SARIOĞLU</t>
  </si>
  <si>
    <t>VELİ ŞAHBUDAK</t>
  </si>
  <si>
    <t>Fitil Sıyırma Operatörü</t>
  </si>
  <si>
    <t>POLAT VURAL</t>
  </si>
  <si>
    <t>İhsarat Operatörü</t>
  </si>
  <si>
    <t>OSMAN ÇELİK</t>
  </si>
  <si>
    <t>Open End Katlama Büküm Grup Lideri</t>
  </si>
  <si>
    <t>MUHTEREM YAVUZ</t>
  </si>
  <si>
    <t>AHMET ŞENAY</t>
  </si>
  <si>
    <t>Ring Bobin Grup Lideri</t>
  </si>
  <si>
    <t>GÜNAY ERİN</t>
  </si>
  <si>
    <t>Ring  Bobin Operatörü</t>
  </si>
  <si>
    <t>MUSTAFA BALIK</t>
  </si>
  <si>
    <t>SÜLEYMAN YILDIRIM</t>
  </si>
  <si>
    <t>Open End Ring Bobin ve Setup Lideri</t>
  </si>
  <si>
    <t>ZÜHTÜ GÜNDAĞ</t>
  </si>
  <si>
    <t>İLYAS ORHAN</t>
  </si>
  <si>
    <t>ŞEVKİ DEMİR</t>
  </si>
  <si>
    <t>ÜMİT ÇOBAN</t>
  </si>
  <si>
    <t>Pamuk Mix Prese Takım Lideri</t>
  </si>
  <si>
    <t>TUNCAY BAYAM</t>
  </si>
  <si>
    <t>AHMET MULCAR</t>
  </si>
  <si>
    <t>SERKAN ACAR</t>
  </si>
  <si>
    <t>YETİŞ MENTEŞ</t>
  </si>
  <si>
    <t>Kalite Takım Lideri Yardımcısı</t>
  </si>
  <si>
    <t>OĞUZHAN DEMİRTAŞ</t>
  </si>
  <si>
    <t>Yükleme Boşaltma Opr.</t>
  </si>
  <si>
    <t>MEHMET YİTİK</t>
  </si>
  <si>
    <t>SELİM AKKOYUN</t>
  </si>
  <si>
    <t>DURMUŞ KAHYA</t>
  </si>
  <si>
    <t>HALİL DENİZ</t>
  </si>
  <si>
    <t>ADEM YAPICI</t>
  </si>
  <si>
    <t>ENGİN TEKİN</t>
  </si>
  <si>
    <t>HÜSEYİN MAMUS</t>
  </si>
  <si>
    <t>HALİL KAYNAR</t>
  </si>
  <si>
    <t>SEVİLAY CEYLAN</t>
  </si>
  <si>
    <t>Ring Bobin Operatörü</t>
  </si>
  <si>
    <t>ADEM AYCAN</t>
  </si>
  <si>
    <t>RAMAZAN KOÇ</t>
  </si>
  <si>
    <t>İSMAİL ATAK</t>
  </si>
  <si>
    <t>İhsarat Takım Lideri</t>
  </si>
  <si>
    <t>MEHMET KORT</t>
  </si>
  <si>
    <t>ADEM PARILDIYAN</t>
  </si>
  <si>
    <t>MEHMET KOÇ</t>
  </si>
  <si>
    <t>AYKUT GÜVEN</t>
  </si>
  <si>
    <t>Klima Bakım Operatörü</t>
  </si>
  <si>
    <t>NECİP SALTAN</t>
  </si>
  <si>
    <t>NURAN AYTEN KORKMAZ</t>
  </si>
  <si>
    <t>DEMET AKÖZ</t>
  </si>
  <si>
    <t>Ring Bobin Takım Lideri</t>
  </si>
  <si>
    <t>VAHDETTİN AVCI</t>
  </si>
  <si>
    <t>SERHAT AK</t>
  </si>
  <si>
    <t>Elektrik Bakım Operatörü</t>
  </si>
  <si>
    <t>MEHMET BULUT</t>
  </si>
  <si>
    <t>Mix Press-Pamuk Hattı Balya Açma Opr</t>
  </si>
  <si>
    <t>SELÇUK KIZIL</t>
  </si>
  <si>
    <t>Open End Takım Lideri</t>
  </si>
  <si>
    <t>RAMAZAN KURTOĞLU</t>
  </si>
  <si>
    <t>MUSTAFA TÜRKMEN</t>
  </si>
  <si>
    <t>Makine Temizlik Operatörü</t>
  </si>
  <si>
    <t>FATMA GÜL AKÇAY</t>
  </si>
  <si>
    <t>AZİME YEŞİL</t>
  </si>
  <si>
    <t>SÜLEYMAN ŞAVKIRAN</t>
  </si>
  <si>
    <t>MURAT TARĞIL</t>
  </si>
  <si>
    <t>MAHMUT OĞUR</t>
  </si>
  <si>
    <t>ERDOĞAN TETİK</t>
  </si>
  <si>
    <t>MÜJDAT AKDOLAN</t>
  </si>
  <si>
    <t>ŞERİF SARIKAYA</t>
  </si>
  <si>
    <t>HAVVA EVREN</t>
  </si>
  <si>
    <t>ÖMER ÖZEN</t>
  </si>
  <si>
    <t>FERDİ ÖĞMEN</t>
  </si>
  <si>
    <t>AHMET AKÇAY</t>
  </si>
  <si>
    <t>İhsarat Takım Lideri Yardımcısı</t>
  </si>
  <si>
    <t>BEGÜM NARİN</t>
  </si>
  <si>
    <t>TURGAY GÜNGÖR</t>
  </si>
  <si>
    <t>Opend End Operatörü</t>
  </si>
  <si>
    <t>ALİ ÖZKAYIN</t>
  </si>
  <si>
    <t>Kalite Takım Lideri</t>
  </si>
  <si>
    <t>YAKUP ORHAN</t>
  </si>
  <si>
    <t>CENNET DURMUŞ</t>
  </si>
  <si>
    <t>ENES KUZEL</t>
  </si>
  <si>
    <t>MEHMET AYAZ</t>
  </si>
  <si>
    <t>CEYLAN KURTULMUŞ</t>
  </si>
  <si>
    <t>MEHMET SAĞIR</t>
  </si>
  <si>
    <t>İKBAL AVŞAR</t>
  </si>
  <si>
    <t>MUSTAFA BAYRACI</t>
  </si>
  <si>
    <t>PINAR ÇELİK</t>
  </si>
  <si>
    <t>RAZİYE PAY</t>
  </si>
  <si>
    <t>HALİL MAN</t>
  </si>
  <si>
    <t>SİNAN BANAZ</t>
  </si>
  <si>
    <t>DENİZ BURHAN</t>
  </si>
  <si>
    <t>Makine Temizlik Takım Lideri Yardımcısı</t>
  </si>
  <si>
    <t>AYKUT YILDIZ</t>
  </si>
  <si>
    <t>Laborant</t>
  </si>
  <si>
    <t>AYDIN ÇAĞLAYAN</t>
  </si>
  <si>
    <t>ELİF ÇAKMAK</t>
  </si>
  <si>
    <t>MEHMET ŞENGÜL</t>
  </si>
  <si>
    <t>RAMAZAN ÖZGEN</t>
  </si>
  <si>
    <t>Klima Bakım Takım Lideri</t>
  </si>
  <si>
    <t>ŞÜKRÜ MERSİN</t>
  </si>
  <si>
    <t>URKİYE SÜMENOĞLU</t>
  </si>
  <si>
    <t>HASAN ÇAKIR</t>
  </si>
  <si>
    <t>SEVGİ KILINÇ</t>
  </si>
  <si>
    <t>GÜLBİYE ÇELİK</t>
  </si>
  <si>
    <t>KEMAL YALÇIN</t>
  </si>
  <si>
    <t>TÜLAY TEKE</t>
  </si>
  <si>
    <t>ASİYE OTU</t>
  </si>
  <si>
    <t>ZEKİ TANDIR</t>
  </si>
  <si>
    <t>Mix Prese ve Telef Prese Operatörü</t>
  </si>
  <si>
    <t>AHMET POTUK</t>
  </si>
  <si>
    <t>HASAN KÜRKÇÜ</t>
  </si>
  <si>
    <t>AHMET YALIN</t>
  </si>
  <si>
    <t>MUSTAFA ÇIRAK</t>
  </si>
  <si>
    <t>Klima Bakım Takım Lideri Yardımcısı</t>
  </si>
  <si>
    <t>TUĞBA SAĞBAN</t>
  </si>
  <si>
    <t>SEVİL TEZCAN</t>
  </si>
  <si>
    <t>FATMA KORKMAZ</t>
  </si>
  <si>
    <t>İHSAN GÜMÜŞKALAY</t>
  </si>
  <si>
    <t>MURAT ÇEVİK</t>
  </si>
  <si>
    <t>ALİM KESKİN</t>
  </si>
  <si>
    <t>Elektrik Bakım Takım Lideri Yardımcısı</t>
  </si>
  <si>
    <t>ÖNDER KOYUNCU</t>
  </si>
  <si>
    <t>ALPEREN KULALI</t>
  </si>
  <si>
    <t>ÖMER AKKUŞ</t>
  </si>
  <si>
    <t>ÖZCAN KELEŞ</t>
  </si>
  <si>
    <t>ERDAL KURTULMUŞ</t>
  </si>
  <si>
    <t>MUSTAFA ŞAN</t>
  </si>
  <si>
    <t>YUNUS EMRE OTU</t>
  </si>
  <si>
    <t>AHMET KARAER</t>
  </si>
  <si>
    <t>SÜLEYMAN ÖKSÜZ</t>
  </si>
  <si>
    <t>ÖMER PAK</t>
  </si>
  <si>
    <t>SADIK BAYSAL</t>
  </si>
  <si>
    <t>RECEP SARIKAPLAN</t>
  </si>
  <si>
    <t>KAZIM ÇETİN</t>
  </si>
  <si>
    <t>TURGAY ARSLAN</t>
  </si>
  <si>
    <t>ŞEYDA ÖZ</t>
  </si>
  <si>
    <t>HASAN TUFAN GÖÇTÜ</t>
  </si>
  <si>
    <t>OSMAN YILDIRIM</t>
  </si>
  <si>
    <t>NURAN ÖZÇELİK</t>
  </si>
  <si>
    <t>ZÜBEYDE KAYA</t>
  </si>
  <si>
    <t>Temizlik Elemanı</t>
  </si>
  <si>
    <t>FADİME YEŞİLYURT</t>
  </si>
  <si>
    <t>HAKAN AYYILDIZ</t>
  </si>
  <si>
    <t>ALİ NAME</t>
  </si>
  <si>
    <t>MAHMUT KURT</t>
  </si>
  <si>
    <t>HALİL ÖZCAN</t>
  </si>
  <si>
    <t>ÜMMÜGÜLSÜM AKŞİT</t>
  </si>
  <si>
    <t>SEVCAN SAYUR</t>
  </si>
  <si>
    <t>Ring Bobin Takım Lideri Yardımcısı</t>
  </si>
  <si>
    <t>ZEYNEP DURCAN</t>
  </si>
  <si>
    <t>İBRAHİM KURT</t>
  </si>
  <si>
    <t>MAHSUM KOÇ</t>
  </si>
  <si>
    <t>AKIN DOĞAN</t>
  </si>
  <si>
    <t>MUSTAFA ÇANAK</t>
  </si>
  <si>
    <t>ÖZCAN EKİZ</t>
  </si>
  <si>
    <t>İBRAHİM TANER</t>
  </si>
  <si>
    <t>ZEHRA ÖZEN</t>
  </si>
  <si>
    <t>YASEMİN DURGUT</t>
  </si>
  <si>
    <t>HAKAN KARABOĞA</t>
  </si>
  <si>
    <t>DUDU UZUN</t>
  </si>
  <si>
    <t>MURAT ÇETİN</t>
  </si>
  <si>
    <t>MELEK ÇAYIR</t>
  </si>
  <si>
    <t>OSMAN ÖNDER DEDEK</t>
  </si>
  <si>
    <t>FATMANA ESKİN</t>
  </si>
  <si>
    <t>BAYRAM ÖZ</t>
  </si>
  <si>
    <t>HALİL SEVİM</t>
  </si>
  <si>
    <t>YASİN HAYLA</t>
  </si>
  <si>
    <t>EMRE YILMAZ</t>
  </si>
  <si>
    <t>MUSTAFA KORKMAZ</t>
  </si>
  <si>
    <t>Paketleme Ambalaj Operatörü</t>
  </si>
  <si>
    <t>MURAT KAŞLI</t>
  </si>
  <si>
    <t>MEHMET KEMAL ALTIN</t>
  </si>
  <si>
    <t>YASİN ATAŞ</t>
  </si>
  <si>
    <t>RUKİYE AKKAN</t>
  </si>
  <si>
    <t>YUSUF ERTUĞRAL</t>
  </si>
  <si>
    <t>MELEK BAŞ</t>
  </si>
  <si>
    <t>MEHMET TÜRKGÜLSÜN</t>
  </si>
  <si>
    <t>DERYA ATICI</t>
  </si>
  <si>
    <t>ÖMER UYAR</t>
  </si>
  <si>
    <t>YAĞMUR İBİŞOĞLU</t>
  </si>
  <si>
    <t>MENEVŞE ASLAN</t>
  </si>
  <si>
    <t>RAMAZAN ŞAHİN</t>
  </si>
  <si>
    <t>NURCAN BİRGİ</t>
  </si>
  <si>
    <t>SERKAN UYSAL</t>
  </si>
  <si>
    <t>YAKUP GERBOĞA</t>
  </si>
  <si>
    <t>MERYEM DURAN</t>
  </si>
  <si>
    <t>YELİZ ŞEN</t>
  </si>
  <si>
    <t>MEHMET GÜLDÜR</t>
  </si>
  <si>
    <t>YILMAZ BAYKA</t>
  </si>
  <si>
    <t>Opend End Ring Temizlik Operatörü</t>
  </si>
  <si>
    <t>OSMAN KESKİN</t>
  </si>
  <si>
    <t>ERCAN SARIN</t>
  </si>
  <si>
    <t>ALKAN SALMAL</t>
  </si>
  <si>
    <t>FATMA ALAN</t>
  </si>
  <si>
    <t>SEVGİ ŞAHAN</t>
  </si>
  <si>
    <t>AYNUR DAĞCI</t>
  </si>
  <si>
    <t>ABDULLAH DEMİR</t>
  </si>
  <si>
    <t>UĞUR ŞAHNA</t>
  </si>
  <si>
    <t>MEHMET BAYKA</t>
  </si>
  <si>
    <t>ŞENİZ KAYAN</t>
  </si>
  <si>
    <t>ÖMER ÇARIKCI</t>
  </si>
  <si>
    <t>AZİZ ÖĞMEN</t>
  </si>
  <si>
    <t>ENGİN HAYLA</t>
  </si>
  <si>
    <t>İBRAHİM ŞENYURT</t>
  </si>
  <si>
    <t>HALİT ŞANLIGENÇ</t>
  </si>
  <si>
    <t>ARİF YİTİK</t>
  </si>
  <si>
    <t>SUNA AYDIN</t>
  </si>
  <si>
    <t>GÜLAY KARABULUT</t>
  </si>
  <si>
    <t>SERDAL ALEVLİ</t>
  </si>
  <si>
    <t>SEZGİN GÜRSOY</t>
  </si>
  <si>
    <t>CENNET ULUBEL</t>
  </si>
  <si>
    <t>YASEMİN MALÇOK</t>
  </si>
  <si>
    <t>MURAT CESUR</t>
  </si>
  <si>
    <t>AYŞEN YILMAZ</t>
  </si>
  <si>
    <t>SELAHATTİN BAYIR</t>
  </si>
  <si>
    <t>FERDİ CANSEVEN</t>
  </si>
  <si>
    <t>TÜLAY AYDİN</t>
  </si>
  <si>
    <t>MESUT AKA</t>
  </si>
  <si>
    <t>EMRE KAŞLI</t>
  </si>
  <si>
    <t>Pamuk Mix Prese Takım Lideri Yardımcısı</t>
  </si>
  <si>
    <t>MEHMET İPEK</t>
  </si>
  <si>
    <t>ÇAĞLAR ALKIN</t>
  </si>
  <si>
    <t>ALİ ALTINKAYA</t>
  </si>
  <si>
    <t>BERKAY KAYA</t>
  </si>
  <si>
    <t>MEHMET YILDIRIM</t>
  </si>
  <si>
    <t>YUNUS EMRE OĞUR</t>
  </si>
  <si>
    <t>HASAN YÜKSEL</t>
  </si>
  <si>
    <t>AYŞEGÜL YILDIRIM</t>
  </si>
  <si>
    <t>SEVİNÇ AKIN</t>
  </si>
  <si>
    <t>COŞKUN ÇAYIR</t>
  </si>
  <si>
    <t>FAHRETTİN ÜSTÜNDAĞ</t>
  </si>
  <si>
    <t>RECEP KIZILKAYALI</t>
  </si>
  <si>
    <t>CENGİZ ŞENOCAK</t>
  </si>
  <si>
    <t>FEYZİ GÜLEÇ</t>
  </si>
  <si>
    <t>SERHAT KAMALI</t>
  </si>
  <si>
    <t>MUSTAFA AKMAN</t>
  </si>
  <si>
    <t>ERTUĞRUL GEZEN</t>
  </si>
  <si>
    <t>SERDAR ASLAN</t>
  </si>
  <si>
    <t>ALİ KARAKUŞ</t>
  </si>
  <si>
    <t>Dış Çevre Temizlik ve Bakım Elemanı</t>
  </si>
  <si>
    <t>SÜLEYMAN MUSLU</t>
  </si>
  <si>
    <t>İSA DEMİRBİLEK</t>
  </si>
  <si>
    <t>İSMAİL ÖZTÜRK</t>
  </si>
  <si>
    <t>RAMAZAN ÇABUK</t>
  </si>
  <si>
    <t>ARZU TÜRE</t>
  </si>
  <si>
    <t>EMİNE PAYAM</t>
  </si>
  <si>
    <t>FEVZİ KÖSE</t>
  </si>
  <si>
    <t>YASEMİN ŞAHAL</t>
  </si>
  <si>
    <t>KAZIM BAYKET ÜNLÜ</t>
  </si>
  <si>
    <t>DÖNDÜ GÜÇTÜ</t>
  </si>
  <si>
    <t>İBRAHİM TANRIVERDİ</t>
  </si>
  <si>
    <t>YELİZ ŞEKER</t>
  </si>
  <si>
    <t>YUSUF POLATDEMİR</t>
  </si>
  <si>
    <t>FATİH SAĞINÇ</t>
  </si>
  <si>
    <t>YUNUS KAYAALP</t>
  </si>
  <si>
    <t>RIDVAN KAYAALP</t>
  </si>
  <si>
    <t>SEMRA SARAÇ</t>
  </si>
  <si>
    <t>ELİF KURT</t>
  </si>
  <si>
    <t>MÜJGAN KAFES</t>
  </si>
  <si>
    <t>GÜLSÜM DAĞ</t>
  </si>
  <si>
    <t>BERKANT ÜNLÜ</t>
  </si>
  <si>
    <t>HÜSEYİN KÖPRÜ</t>
  </si>
  <si>
    <t>RABİA OĞUZ</t>
  </si>
  <si>
    <t>ENVER RECEP ALDEMİR</t>
  </si>
  <si>
    <t>SERVET BAKIR</t>
  </si>
  <si>
    <t>PINAR ÖZCAN</t>
  </si>
  <si>
    <t>HATİCE GÜVENÇ</t>
  </si>
  <si>
    <t>SEVGİ ŞEKER</t>
  </si>
  <si>
    <t>AHMET OK</t>
  </si>
  <si>
    <t>SADIK SERDAR SEZGİN</t>
  </si>
  <si>
    <t>SEVİL ÖZER</t>
  </si>
  <si>
    <t>YUSUF KURT</t>
  </si>
  <si>
    <t>HASAN KÖSEOĞLU</t>
  </si>
  <si>
    <t>İBRAHİM KILIÇOĞLU</t>
  </si>
  <si>
    <t>SELDA ÖZEL</t>
  </si>
  <si>
    <t>MELEK DÜZEN</t>
  </si>
  <si>
    <t>YUSUF CAN YİTİK</t>
  </si>
  <si>
    <t>TANER GENÇ</t>
  </si>
  <si>
    <t>İBRAHİM HALİL ÖZDEMİR</t>
  </si>
  <si>
    <t>MUHAMMET KILIÇ</t>
  </si>
  <si>
    <t>MEHMET İĞCİ</t>
  </si>
  <si>
    <t>TANER ZİREK</t>
  </si>
  <si>
    <t>GÜLESER KARAKUŞ</t>
  </si>
  <si>
    <t>MERVE KADIKÖYLÜ</t>
  </si>
  <si>
    <t>EMRE YAŞA</t>
  </si>
  <si>
    <t>ZEYNEP MELİKE AKKAN</t>
  </si>
  <si>
    <t>HAVANE SARITAŞ</t>
  </si>
  <si>
    <t>HABİB GÖRGÜLÜ</t>
  </si>
  <si>
    <t>ONUR KIRDAR</t>
  </si>
  <si>
    <t>İRFAN AKCAOĞLU</t>
  </si>
  <si>
    <t>NAZİR ÖZTÜRK</t>
  </si>
  <si>
    <t>UĞUR ERGEZER</t>
  </si>
  <si>
    <t>MEHMET UĞUZ</t>
  </si>
  <si>
    <t>MEVLÜT GÜLDALI</t>
  </si>
  <si>
    <t>AHMET ONGUN</t>
  </si>
  <si>
    <t>FERHAT ÖNER</t>
  </si>
  <si>
    <t>DİLEK ALTINTAŞ</t>
  </si>
  <si>
    <t>MEDİNE TUNA</t>
  </si>
  <si>
    <t>ELİF CERİT</t>
  </si>
  <si>
    <t>İBRAHİM AKCAOĞLU</t>
  </si>
  <si>
    <t>HALİL DEMİRBİLEK</t>
  </si>
  <si>
    <t>HÜSEYİN KOCAOĞLAN</t>
  </si>
  <si>
    <t>OSMAN DURNA</t>
  </si>
  <si>
    <t>Open End Ring Bobin ve Setup Operatörü</t>
  </si>
  <si>
    <t>ÜMİT TOKDEMİR</t>
  </si>
  <si>
    <t>SONGÜL ERSOY</t>
  </si>
  <si>
    <t>NUMAN KAYA</t>
  </si>
  <si>
    <t>İSKENDER HAMDİ TOKDEMİR</t>
  </si>
  <si>
    <t>BATUHAN BULAT</t>
  </si>
  <si>
    <t>AHMET KILIÇ</t>
  </si>
  <si>
    <t>HÜSEYİN AYER</t>
  </si>
  <si>
    <t>İLYAS KIRBOĞA</t>
  </si>
  <si>
    <t>AHMET SEYİT DERMAN</t>
  </si>
  <si>
    <t>MEHMET KOPARAN</t>
  </si>
  <si>
    <t>NECATİ DAĞ</t>
  </si>
  <si>
    <t>MUZAFFER TANRIVERDİ</t>
  </si>
  <si>
    <t>ÜLFİYE KAZANPINAR</t>
  </si>
  <si>
    <t>NURİYE ŞENER</t>
  </si>
  <si>
    <t>MİNE KARAMÜRSEL</t>
  </si>
  <si>
    <t>Personel numarası</t>
  </si>
  <si>
    <t>İşe giriş</t>
  </si>
  <si>
    <t>Pozisyon</t>
  </si>
  <si>
    <t>90 günlük periyot</t>
  </si>
  <si>
    <t>Kaizen</t>
  </si>
  <si>
    <t>Kaizen Puan</t>
  </si>
  <si>
    <t xml:space="preserve">Hata Kartı </t>
  </si>
  <si>
    <t>Hata Kartı Puan</t>
  </si>
  <si>
    <t>Bölüm 5S</t>
  </si>
  <si>
    <t xml:space="preserve"> 5S Puan</t>
  </si>
  <si>
    <t>ISG</t>
  </si>
  <si>
    <t>ISG PUAN</t>
  </si>
  <si>
    <t>Devamsızlık</t>
  </si>
  <si>
    <t>Dev.Puan</t>
  </si>
  <si>
    <t>Hasta</t>
  </si>
  <si>
    <t>Hasta Puan</t>
  </si>
  <si>
    <t>Ücretsiz İzin</t>
  </si>
  <si>
    <t>Ücretsiz İzin
 Puan</t>
  </si>
  <si>
    <t xml:space="preserve">OEE </t>
  </si>
  <si>
    <t>Telef</t>
  </si>
  <si>
    <t>PERFORMANS PUANI</t>
  </si>
  <si>
    <t>Pozisyon 
Seviyesi</t>
  </si>
  <si>
    <t>Pozisyon 
katsayısı</t>
  </si>
  <si>
    <t>Kademe Seviyesi</t>
  </si>
  <si>
    <t>Kademe katsayısı</t>
  </si>
  <si>
    <t>Kriter</t>
  </si>
  <si>
    <t>Ağırlık</t>
  </si>
  <si>
    <t>OEE</t>
  </si>
  <si>
    <t>KIDEM SEVİYESİ</t>
  </si>
  <si>
    <t>KADEME SEVİYESİ</t>
  </si>
  <si>
    <t>Personel Kıdem Seviyesi</t>
  </si>
  <si>
    <t>Personel</t>
  </si>
  <si>
    <t>Katsayı</t>
  </si>
  <si>
    <t>Şef Müdür</t>
  </si>
  <si>
    <t>KADEME YOK</t>
  </si>
  <si>
    <t>Grup Lideri</t>
  </si>
  <si>
    <t>4.KADEME</t>
  </si>
  <si>
    <t>Takım Lideri</t>
  </si>
  <si>
    <t>3.KADEME</t>
  </si>
  <si>
    <t>TL Yardımcı</t>
  </si>
  <si>
    <t>2.KADEME</t>
  </si>
  <si>
    <t>Operatör</t>
  </si>
  <si>
    <t>1.KADEME</t>
  </si>
  <si>
    <t>En 4.Kademe</t>
  </si>
  <si>
    <t>En 3.Kademe</t>
  </si>
  <si>
    <t>En 2.Kademe</t>
  </si>
  <si>
    <t>En 1.Kademe</t>
  </si>
  <si>
    <t>Mek 3.Kademe</t>
  </si>
  <si>
    <t>Mek 2.Kademe</t>
  </si>
  <si>
    <t>Mek 1.Kademe</t>
  </si>
  <si>
    <t>GÜNLÜK KATSAYISI</t>
  </si>
  <si>
    <t>BÖLÜM</t>
  </si>
  <si>
    <t>RİNG BOBİN</t>
  </si>
  <si>
    <t>İHSARAT</t>
  </si>
  <si>
    <t>ENERJİ</t>
  </si>
  <si>
    <t>KALİTE</t>
  </si>
  <si>
    <t>MEKANİK</t>
  </si>
  <si>
    <t>MİX PAMUK</t>
  </si>
  <si>
    <t>MAKİNE TEMİZLİK</t>
  </si>
  <si>
    <t>TEMİZLİK</t>
  </si>
  <si>
    <t>KATLAMA BÜKÜM</t>
  </si>
  <si>
    <t>LOJİSTİK</t>
  </si>
  <si>
    <t>OPENEND</t>
  </si>
  <si>
    <t>AMBALAJ</t>
  </si>
  <si>
    <t>ÜRETİM</t>
  </si>
  <si>
    <t>OE-KAT BÜK</t>
  </si>
  <si>
    <t>KADEME</t>
  </si>
  <si>
    <t>SÜPERVİZÖR</t>
  </si>
  <si>
    <t>EKİP LİDERİ</t>
  </si>
  <si>
    <t>SICIL</t>
  </si>
  <si>
    <t>ADI SOYADI</t>
  </si>
  <si>
    <t>DEVAMSIZLIK</t>
  </si>
  <si>
    <t>TUĞBA ŞAĞBAN</t>
  </si>
  <si>
    <t>MEHMET ALİ BÜRAN</t>
  </si>
  <si>
    <t>HALİL KEÇELİOĞLU</t>
  </si>
  <si>
    <t xml:space="preserve">HASTA </t>
  </si>
  <si>
    <t xml:space="preserve">İŞ KAZASI </t>
  </si>
  <si>
    <t xml:space="preserve">ÜCRETSİZ İZİN </t>
  </si>
  <si>
    <t xml:space="preserve">AMELİYAT </t>
  </si>
  <si>
    <t>COVİD</t>
  </si>
  <si>
    <t>DOĞUM</t>
  </si>
  <si>
    <t>ARA TOPLAM</t>
  </si>
  <si>
    <t>ORAN</t>
  </si>
  <si>
    <t>Baş.</t>
  </si>
  <si>
    <t>Bitiş</t>
  </si>
  <si>
    <t>Puan</t>
  </si>
  <si>
    <t>İSG</t>
  </si>
  <si>
    <t>MAZERETSİZ</t>
  </si>
  <si>
    <t>HASTA</t>
  </si>
  <si>
    <t>ÜCRETSİZ İZİN</t>
  </si>
  <si>
    <t>TOPLAM</t>
  </si>
  <si>
    <t>TOPLAM ORAN</t>
  </si>
  <si>
    <t>DEVAM ORANI</t>
  </si>
  <si>
    <t>Başlangıç</t>
  </si>
  <si>
    <t xml:space="preserve">Bitiş </t>
  </si>
  <si>
    <t>Puanı</t>
  </si>
  <si>
    <t>Bölüm</t>
  </si>
  <si>
    <t>HEDEF</t>
  </si>
  <si>
    <t>GERÇEKLEŞEN</t>
  </si>
  <si>
    <t>GERÇEKLEŞTİRME/HEDEF</t>
  </si>
  <si>
    <t>OEE KATSAYISI</t>
  </si>
  <si>
    <t>AĞIRLIK KATSAYISI</t>
  </si>
  <si>
    <t>AĞIRLIK ORTALAMA</t>
  </si>
  <si>
    <t>SS</t>
  </si>
  <si>
    <t>OE</t>
  </si>
  <si>
    <t>BÜKÜM</t>
  </si>
  <si>
    <t>OEE PUAN</t>
  </si>
  <si>
    <t>TELEF</t>
  </si>
  <si>
    <t>başlangıç</t>
  </si>
  <si>
    <t>bitiş</t>
  </si>
  <si>
    <t>Katsayısı</t>
  </si>
  <si>
    <t>GERÇEK / HEDEF</t>
  </si>
  <si>
    <t>TELEF KATSAYISI</t>
  </si>
  <si>
    <t>Fitil Açma Telefi (PK) Miktarı %</t>
  </si>
  <si>
    <t>Pnömofil Telefi (PK) Miktarı %</t>
  </si>
  <si>
    <t>Üstübü Telefi (PU) Miktarı %</t>
  </si>
  <si>
    <t>Kops Sıyırma Telefi (PU) Miktarı %</t>
  </si>
  <si>
    <t>TOPLAM TELEF</t>
  </si>
  <si>
    <t>İŞTEKİ GÜN SAYISI</t>
  </si>
  <si>
    <t>SONUÇ</t>
  </si>
  <si>
    <t>Personel
Sicil No</t>
  </si>
  <si>
    <t>Personel
Adı Soyadı</t>
  </si>
  <si>
    <t>Oca</t>
  </si>
  <si>
    <t>Şub</t>
  </si>
  <si>
    <t>Mar</t>
  </si>
  <si>
    <t>ORTALAMA</t>
  </si>
  <si>
    <t>MEKANİK BAKIM</t>
  </si>
  <si>
    <t>ENERJİ BAKIM</t>
  </si>
  <si>
    <t>RİNG BOBİN TEMİZLİK</t>
  </si>
  <si>
    <t>Paketleme Ambalaj Takım Lideri Yardımcısı</t>
  </si>
  <si>
    <t>HALİL DURAN</t>
  </si>
  <si>
    <t>MİX PRESE-PAMUK</t>
  </si>
  <si>
    <t>OSMAN LEKESİZ</t>
  </si>
  <si>
    <t>ÜMİT KAYA</t>
  </si>
  <si>
    <t>SİNEM TANIŞ</t>
  </si>
  <si>
    <t>MEHMET ÖZTÜRK</t>
  </si>
  <si>
    <t>BEDİHA ALBAY</t>
  </si>
  <si>
    <t>KEMAL GÜL</t>
  </si>
  <si>
    <t>MUSTAFA BOSTAN</t>
  </si>
  <si>
    <t>HASAN ÇOBAN</t>
  </si>
  <si>
    <t>Sicil No</t>
  </si>
  <si>
    <t>PUAN</t>
  </si>
  <si>
    <t>BAŞ</t>
  </si>
  <si>
    <t>BİTİŞ</t>
  </si>
  <si>
    <t>BÖLÜM 5S PUAN ARALIK</t>
  </si>
  <si>
    <t>SÜLEYMAN TAKTAKOĞLU</t>
  </si>
  <si>
    <t>Yükleme Boşaltma Operatörü</t>
  </si>
  <si>
    <t>SÜLEYMAN MAYUK</t>
  </si>
  <si>
    <t>TAKIM LİDERİ YARDIMCISI</t>
  </si>
  <si>
    <t>TEKNİSYEN</t>
  </si>
  <si>
    <t>OPERATÖR</t>
  </si>
  <si>
    <t>GÖREV</t>
  </si>
  <si>
    <t>SİCİL</t>
  </si>
  <si>
    <t>İSİM SOYİSİM</t>
  </si>
  <si>
    <t>İŞE GİRİŞ TARİHİ</t>
  </si>
  <si>
    <t>ORGANİZASYON BİRİMİ</t>
  </si>
  <si>
    <t>POZİSYON</t>
  </si>
  <si>
    <t>İŞ</t>
  </si>
  <si>
    <t>Kısa Elyaf</t>
  </si>
  <si>
    <t>GRUP LİDERİ</t>
  </si>
  <si>
    <t>Üretim</t>
  </si>
  <si>
    <t>ŞEF LİDER</t>
  </si>
  <si>
    <t>Mekanik Bakım</t>
  </si>
  <si>
    <t>Lojistik</t>
  </si>
  <si>
    <t>Enerji Bakım</t>
  </si>
  <si>
    <t>TAKIM LİDERİ</t>
  </si>
  <si>
    <t>Ortak İşlemler</t>
  </si>
  <si>
    <t>Uzun Elyaf.</t>
  </si>
  <si>
    <t>Open End</t>
  </si>
  <si>
    <t>Kalite ve Arge Müdürlüğü</t>
  </si>
  <si>
    <t>İdari İşler</t>
  </si>
  <si>
    <t>İBRAHİM SANCAR</t>
  </si>
  <si>
    <t>HÜSEYİN YÜCE</t>
  </si>
  <si>
    <t>ALİYE VERİM</t>
  </si>
  <si>
    <t>Open End Ring Bobin Operatörü</t>
  </si>
  <si>
    <t>VELİ YILMAZ</t>
  </si>
  <si>
    <t>AHMET ÇAKAR</t>
  </si>
  <si>
    <t>ENES UYSAL</t>
  </si>
  <si>
    <t>SÜLEYMAN DUMAN</t>
  </si>
  <si>
    <t>SBS RİNG BOBİN</t>
  </si>
  <si>
    <t>Pamuk Hattı Operatörü</t>
  </si>
  <si>
    <t>Mix Prese Operatörü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</si>
</sst>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00"/>
    <numFmt numFmtId="166" formatCode="0.0"/>
  </numFmts>
  <fonts count="20" x14ac:knownFonts="1">
    <font>
      <sz val="10"/>
      <name val="Arial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 Tur"/>
      <charset val="162"/>
    </font>
    <font>
      <i/>
      <sz val="10"/>
      <name val="Arial Tur"/>
      <charset val="162"/>
    </font>
    <font>
      <b/>
      <sz val="14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4"/>
      <name val="Arial"/>
      <family val="2"/>
      <charset val="162"/>
    </font>
    <font>
      <b/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</cellStyleXfs>
  <cellXfs count="146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0" xfId="0"/>
    <xf numFmtId="0" fontId="0" fillId="5" borderId="3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5" fillId="6" borderId="1" xfId="2" applyFont="1" applyFill="1" applyBorder="1" applyAlignment="1">
      <alignment horizontal="center"/>
    </xf>
    <xf numFmtId="0" fontId="5" fillId="6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5" fillId="7" borderId="1" xfId="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1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1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12" fillId="9" borderId="1" xfId="3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" fontId="0" fillId="0" borderId="1" xfId="0" applyNumberFormat="1" applyFont="1" applyFill="1" applyBorder="1" applyAlignment="1">
      <alignment horizontal="center" wrapText="1"/>
    </xf>
    <xf numFmtId="0" fontId="12" fillId="9" borderId="1" xfId="3" applyFont="1" applyFill="1" applyBorder="1"/>
    <xf numFmtId="0" fontId="0" fillId="4" borderId="1" xfId="0" applyFill="1" applyBorder="1" applyAlignment="1">
      <alignment horizontal="center"/>
    </xf>
    <xf numFmtId="0" fontId="13" fillId="0" borderId="1" xfId="2" applyNumberFormat="1" applyFont="1" applyFill="1" applyBorder="1" applyAlignment="1">
      <alignment horizontal="center" vertical="center" wrapText="1"/>
    </xf>
    <xf numFmtId="0" fontId="13" fillId="0" borderId="1" xfId="2" applyNumberFormat="1" applyFont="1" applyFill="1" applyBorder="1" applyAlignment="1">
      <alignment horizontal="center" vertical="center"/>
    </xf>
    <xf numFmtId="0" fontId="14" fillId="10" borderId="1" xfId="2" applyNumberFormat="1" applyFont="1" applyFill="1" applyBorder="1" applyAlignment="1">
      <alignment horizontal="center" vertical="center" wrapText="1"/>
    </xf>
    <xf numFmtId="0" fontId="4" fillId="0" borderId="1" xfId="2" applyNumberFormat="1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/>
    <xf numFmtId="166" fontId="0" fillId="0" borderId="1" xfId="0" applyNumberFormat="1" applyBorder="1"/>
    <xf numFmtId="0" fontId="0" fillId="0" borderId="1" xfId="0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2" fontId="0" fillId="0" borderId="1" xfId="0" applyNumberForma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2" fontId="0" fillId="0" borderId="0" xfId="0" applyNumberFormat="1" applyAlignment="1">
      <alignment vertical="top"/>
    </xf>
    <xf numFmtId="4" fontId="0" fillId="0" borderId="0" xfId="0" applyNumberFormat="1" applyAlignment="1">
      <alignment horizontal="right" vertical="top"/>
    </xf>
    <xf numFmtId="2" fontId="16" fillId="0" borderId="1" xfId="0" applyNumberFormat="1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/>
    </xf>
    <xf numFmtId="0" fontId="16" fillId="0" borderId="0" xfId="0" applyFont="1" applyAlignment="1">
      <alignment vertical="top"/>
    </xf>
    <xf numFmtId="14" fontId="16" fillId="0" borderId="1" xfId="0" applyNumberFormat="1" applyFont="1" applyBorder="1" applyAlignment="1">
      <alignment horizontal="right" vertical="center"/>
    </xf>
    <xf numFmtId="4" fontId="17" fillId="5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9" fontId="3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top"/>
    </xf>
    <xf numFmtId="2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top"/>
    </xf>
    <xf numFmtId="4" fontId="0" fillId="12" borderId="1" xfId="0" applyNumberFormat="1" applyFill="1" applyBorder="1" applyAlignment="1">
      <alignment horizontal="right" vertical="top"/>
    </xf>
    <xf numFmtId="0" fontId="0" fillId="12" borderId="0" xfId="0" applyFill="1" applyAlignment="1">
      <alignment vertical="top"/>
    </xf>
    <xf numFmtId="0" fontId="0" fillId="12" borderId="1" xfId="0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right" vertical="top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top"/>
    </xf>
    <xf numFmtId="4" fontId="0" fillId="4" borderId="1" xfId="0" applyNumberFormat="1" applyFill="1" applyBorder="1" applyAlignment="1">
      <alignment horizontal="right" vertical="top"/>
    </xf>
    <xf numFmtId="0" fontId="0" fillId="4" borderId="0" xfId="0" applyFill="1" applyAlignment="1">
      <alignment vertical="top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top"/>
    </xf>
    <xf numFmtId="2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top"/>
    </xf>
    <xf numFmtId="4" fontId="0" fillId="0" borderId="1" xfId="0" applyNumberFormat="1" applyFill="1" applyBorder="1" applyAlignment="1">
      <alignment horizontal="right" vertical="top"/>
    </xf>
    <xf numFmtId="0" fontId="0" fillId="0" borderId="0" xfId="0" applyFill="1" applyAlignment="1">
      <alignment vertical="top"/>
    </xf>
    <xf numFmtId="0" fontId="0" fillId="13" borderId="1" xfId="0" applyFill="1" applyBorder="1" applyAlignment="1">
      <alignment horizontal="center" vertical="top"/>
    </xf>
    <xf numFmtId="9" fontId="1" fillId="4" borderId="1" xfId="0" applyNumberFormat="1" applyFont="1" applyFill="1" applyBorder="1" applyAlignment="1">
      <alignment horizontal="center" vertical="center"/>
    </xf>
    <xf numFmtId="9" fontId="0" fillId="0" borderId="5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2" fillId="9" borderId="1" xfId="3" applyFont="1" applyFill="1" applyBorder="1" applyAlignment="1">
      <alignment horizontal="center"/>
    </xf>
  </cellXfs>
  <cellStyles count="4">
    <cellStyle name="Normal" xfId="0" builtinId="0"/>
    <cellStyle name="Normal 2 2" xfId="2" xr:uid="{817156DB-EE52-4AAF-9E12-AA35A00D32DC}"/>
    <cellStyle name="Normal 217" xfId="3" xr:uid="{89428497-2B81-43DC-A422-80D3FF734065}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A52A-AEF3-4393-AF9B-F2072939489C}">
  <dimension ref="A1:G322"/>
  <sheetViews>
    <sheetView workbookViewId="0">
      <selection activeCell="G19" sqref="G19"/>
    </sheetView>
  </sheetViews>
  <sheetFormatPr defaultRowHeight="12.75" x14ac:dyDescent="0.2"/>
  <cols>
    <col min="1" max="1" width="5.85546875" bestFit="1" customWidth="1"/>
    <col min="2" max="2" width="27.5703125" bestFit="1" customWidth="1"/>
    <col min="3" max="3" width="15.42578125" bestFit="1" customWidth="1"/>
    <col min="4" max="4" width="22.5703125" bestFit="1" customWidth="1"/>
    <col min="5" max="5" width="37.42578125" bestFit="1" customWidth="1"/>
    <col min="6" max="6" width="24.42578125" bestFit="1" customWidth="1"/>
    <col min="7" max="7" width="13.7109375" bestFit="1" customWidth="1"/>
  </cols>
  <sheetData>
    <row r="1" spans="1:7" ht="25.5" x14ac:dyDescent="0.2">
      <c r="A1" s="107" t="s">
        <v>521</v>
      </c>
      <c r="B1" s="108" t="s">
        <v>522</v>
      </c>
      <c r="C1" s="109" t="s">
        <v>523</v>
      </c>
      <c r="D1" s="109" t="s">
        <v>524</v>
      </c>
      <c r="E1" s="109" t="s">
        <v>525</v>
      </c>
      <c r="F1" s="109" t="s">
        <v>526</v>
      </c>
      <c r="G1" s="109" t="s">
        <v>435</v>
      </c>
    </row>
    <row r="2" spans="1:7" x14ac:dyDescent="0.2">
      <c r="A2" s="110">
        <v>12</v>
      </c>
      <c r="B2" t="s">
        <v>0</v>
      </c>
      <c r="C2" s="111">
        <v>33434</v>
      </c>
      <c r="D2" t="s">
        <v>527</v>
      </c>
      <c r="E2" t="s">
        <v>1</v>
      </c>
      <c r="F2" t="s">
        <v>528</v>
      </c>
      <c r="G2" s="73" t="s">
        <v>436</v>
      </c>
    </row>
    <row r="3" spans="1:7" x14ac:dyDescent="0.2">
      <c r="A3" s="110">
        <v>15</v>
      </c>
      <c r="B3" t="s">
        <v>2</v>
      </c>
      <c r="C3" s="111">
        <v>33451</v>
      </c>
      <c r="D3" t="s">
        <v>529</v>
      </c>
      <c r="E3" t="s">
        <v>3</v>
      </c>
      <c r="F3" t="s">
        <v>530</v>
      </c>
      <c r="G3" s="73" t="s">
        <v>437</v>
      </c>
    </row>
    <row r="4" spans="1:7" x14ac:dyDescent="0.2">
      <c r="A4" s="110">
        <v>39</v>
      </c>
      <c r="B4" t="s">
        <v>4</v>
      </c>
      <c r="C4" s="111">
        <v>42954</v>
      </c>
      <c r="D4" t="s">
        <v>531</v>
      </c>
      <c r="E4" t="s">
        <v>5</v>
      </c>
      <c r="F4" t="s">
        <v>530</v>
      </c>
      <c r="G4" t="s">
        <v>437</v>
      </c>
    </row>
    <row r="5" spans="1:7" x14ac:dyDescent="0.2">
      <c r="A5" s="110">
        <v>42</v>
      </c>
      <c r="B5" t="s">
        <v>6</v>
      </c>
      <c r="C5" s="111">
        <v>33569</v>
      </c>
      <c r="D5" t="s">
        <v>532</v>
      </c>
      <c r="E5" t="s">
        <v>7</v>
      </c>
      <c r="F5" t="s">
        <v>519</v>
      </c>
      <c r="G5" s="73" t="s">
        <v>405</v>
      </c>
    </row>
    <row r="6" spans="1:7" x14ac:dyDescent="0.2">
      <c r="A6" s="110">
        <v>49</v>
      </c>
      <c r="B6" t="s">
        <v>8</v>
      </c>
      <c r="C6" s="111">
        <v>35760</v>
      </c>
      <c r="D6" t="s">
        <v>527</v>
      </c>
      <c r="E6" t="s">
        <v>1</v>
      </c>
      <c r="F6" t="s">
        <v>528</v>
      </c>
      <c r="G6" s="73" t="s">
        <v>436</v>
      </c>
    </row>
    <row r="7" spans="1:7" x14ac:dyDescent="0.2">
      <c r="A7" s="110">
        <v>52</v>
      </c>
      <c r="B7" t="s">
        <v>9</v>
      </c>
      <c r="C7" s="111">
        <v>35962</v>
      </c>
      <c r="D7" t="s">
        <v>527</v>
      </c>
      <c r="E7" t="s">
        <v>10</v>
      </c>
      <c r="F7" t="s">
        <v>519</v>
      </c>
      <c r="G7" s="73" t="s">
        <v>407</v>
      </c>
    </row>
    <row r="8" spans="1:7" x14ac:dyDescent="0.2">
      <c r="A8" s="110">
        <v>57</v>
      </c>
      <c r="B8" t="s">
        <v>11</v>
      </c>
      <c r="C8" s="111">
        <v>35485</v>
      </c>
      <c r="D8" t="s">
        <v>531</v>
      </c>
      <c r="E8" t="s">
        <v>12</v>
      </c>
      <c r="F8" t="s">
        <v>517</v>
      </c>
      <c r="G8" t="s">
        <v>407</v>
      </c>
    </row>
    <row r="9" spans="1:7" x14ac:dyDescent="0.2">
      <c r="A9" s="110">
        <v>64</v>
      </c>
      <c r="B9" t="s">
        <v>13</v>
      </c>
      <c r="C9" s="111">
        <v>34506</v>
      </c>
      <c r="D9" t="s">
        <v>533</v>
      </c>
      <c r="E9" t="s">
        <v>5</v>
      </c>
      <c r="F9" t="s">
        <v>530</v>
      </c>
      <c r="G9" t="s">
        <v>437</v>
      </c>
    </row>
    <row r="10" spans="1:7" x14ac:dyDescent="0.2">
      <c r="A10" s="110">
        <v>72</v>
      </c>
      <c r="B10" t="s">
        <v>14</v>
      </c>
      <c r="C10" s="111">
        <v>36074</v>
      </c>
      <c r="D10" t="s">
        <v>527</v>
      </c>
      <c r="E10" t="s">
        <v>15</v>
      </c>
      <c r="F10" t="s">
        <v>534</v>
      </c>
      <c r="G10" s="73" t="s">
        <v>405</v>
      </c>
    </row>
    <row r="11" spans="1:7" x14ac:dyDescent="0.2">
      <c r="A11" s="110">
        <v>73</v>
      </c>
      <c r="B11" t="s">
        <v>16</v>
      </c>
      <c r="C11" s="111">
        <v>34745</v>
      </c>
      <c r="D11" t="s">
        <v>527</v>
      </c>
      <c r="E11" t="s">
        <v>10</v>
      </c>
      <c r="F11" t="s">
        <v>519</v>
      </c>
      <c r="G11" s="73" t="s">
        <v>407</v>
      </c>
    </row>
    <row r="12" spans="1:7" x14ac:dyDescent="0.2">
      <c r="A12" s="110">
        <v>74</v>
      </c>
      <c r="B12" t="s">
        <v>17</v>
      </c>
      <c r="C12" s="111">
        <v>34771</v>
      </c>
      <c r="D12" t="s">
        <v>531</v>
      </c>
      <c r="E12" t="s">
        <v>5</v>
      </c>
      <c r="F12" t="s">
        <v>530</v>
      </c>
      <c r="G12" t="s">
        <v>437</v>
      </c>
    </row>
    <row r="13" spans="1:7" x14ac:dyDescent="0.2">
      <c r="A13" s="110">
        <v>79</v>
      </c>
      <c r="B13" t="s">
        <v>18</v>
      </c>
      <c r="C13" s="111">
        <v>34916</v>
      </c>
      <c r="D13" t="s">
        <v>527</v>
      </c>
      <c r="E13" t="s">
        <v>1</v>
      </c>
      <c r="F13" t="s">
        <v>528</v>
      </c>
      <c r="G13" s="73" t="s">
        <v>436</v>
      </c>
    </row>
    <row r="14" spans="1:7" x14ac:dyDescent="0.2">
      <c r="A14" s="110">
        <v>81</v>
      </c>
      <c r="B14" t="s">
        <v>19</v>
      </c>
      <c r="C14" s="111">
        <v>36726</v>
      </c>
      <c r="D14" t="s">
        <v>535</v>
      </c>
      <c r="E14" t="s">
        <v>20</v>
      </c>
      <c r="F14" t="s">
        <v>534</v>
      </c>
      <c r="G14" s="73" t="s">
        <v>405</v>
      </c>
    </row>
    <row r="15" spans="1:7" x14ac:dyDescent="0.2">
      <c r="A15" s="110">
        <v>86</v>
      </c>
      <c r="B15" t="s">
        <v>21</v>
      </c>
      <c r="C15" s="111">
        <v>36458</v>
      </c>
      <c r="D15" t="s">
        <v>536</v>
      </c>
      <c r="E15" t="s">
        <v>22</v>
      </c>
      <c r="F15" t="s">
        <v>517</v>
      </c>
      <c r="G15" s="73" t="s">
        <v>405</v>
      </c>
    </row>
    <row r="16" spans="1:7" x14ac:dyDescent="0.2">
      <c r="A16" s="110">
        <v>88</v>
      </c>
      <c r="B16" t="s">
        <v>23</v>
      </c>
      <c r="C16" s="111">
        <v>36565</v>
      </c>
      <c r="D16" t="s">
        <v>531</v>
      </c>
      <c r="E16" t="s">
        <v>24</v>
      </c>
      <c r="F16" t="s">
        <v>518</v>
      </c>
      <c r="G16" t="s">
        <v>407</v>
      </c>
    </row>
    <row r="17" spans="1:7" x14ac:dyDescent="0.2">
      <c r="A17" s="110">
        <v>96</v>
      </c>
      <c r="B17" t="s">
        <v>25</v>
      </c>
      <c r="C17" s="111">
        <v>35314</v>
      </c>
      <c r="D17" t="s">
        <v>536</v>
      </c>
      <c r="E17" t="s">
        <v>26</v>
      </c>
      <c r="F17" t="s">
        <v>534</v>
      </c>
      <c r="G17" s="73" t="s">
        <v>405</v>
      </c>
    </row>
    <row r="18" spans="1:7" x14ac:dyDescent="0.2">
      <c r="A18" s="110">
        <v>102</v>
      </c>
      <c r="B18" t="s">
        <v>27</v>
      </c>
      <c r="C18" s="111">
        <v>35374</v>
      </c>
      <c r="D18" t="s">
        <v>531</v>
      </c>
      <c r="E18" t="s">
        <v>28</v>
      </c>
      <c r="F18" t="s">
        <v>534</v>
      </c>
      <c r="G18" t="s">
        <v>407</v>
      </c>
    </row>
    <row r="19" spans="1:7" x14ac:dyDescent="0.2">
      <c r="A19" s="110">
        <v>104</v>
      </c>
      <c r="B19" t="s">
        <v>29</v>
      </c>
      <c r="C19" s="111">
        <v>35416</v>
      </c>
      <c r="D19" t="s">
        <v>537</v>
      </c>
      <c r="E19" t="s">
        <v>30</v>
      </c>
      <c r="F19" t="s">
        <v>517</v>
      </c>
      <c r="G19" s="73" t="s">
        <v>405</v>
      </c>
    </row>
    <row r="20" spans="1:7" x14ac:dyDescent="0.2">
      <c r="A20" s="110">
        <v>107</v>
      </c>
      <c r="B20" t="s">
        <v>31</v>
      </c>
      <c r="C20" s="111">
        <v>35436</v>
      </c>
      <c r="D20" t="s">
        <v>531</v>
      </c>
      <c r="E20" t="s">
        <v>12</v>
      </c>
      <c r="F20" t="s">
        <v>517</v>
      </c>
      <c r="G20" t="s">
        <v>407</v>
      </c>
    </row>
    <row r="21" spans="1:7" x14ac:dyDescent="0.2">
      <c r="A21" s="110">
        <v>108</v>
      </c>
      <c r="B21" t="s">
        <v>32</v>
      </c>
      <c r="C21" s="111">
        <v>35445</v>
      </c>
      <c r="D21" t="s">
        <v>531</v>
      </c>
      <c r="E21" t="s">
        <v>28</v>
      </c>
      <c r="F21" t="s">
        <v>534</v>
      </c>
      <c r="G21" t="s">
        <v>407</v>
      </c>
    </row>
    <row r="22" spans="1:7" x14ac:dyDescent="0.2">
      <c r="A22" s="110">
        <v>109</v>
      </c>
      <c r="B22" t="s">
        <v>33</v>
      </c>
      <c r="C22" s="111">
        <v>40805</v>
      </c>
      <c r="D22" t="s">
        <v>527</v>
      </c>
      <c r="E22" t="s">
        <v>34</v>
      </c>
      <c r="F22" t="s">
        <v>517</v>
      </c>
      <c r="G22" s="73" t="s">
        <v>407</v>
      </c>
    </row>
    <row r="23" spans="1:7" x14ac:dyDescent="0.2">
      <c r="A23" s="110">
        <v>112</v>
      </c>
      <c r="B23" t="s">
        <v>35</v>
      </c>
      <c r="C23" s="111">
        <v>35555</v>
      </c>
      <c r="D23" t="s">
        <v>533</v>
      </c>
      <c r="E23" t="s">
        <v>36</v>
      </c>
      <c r="F23" t="s">
        <v>534</v>
      </c>
      <c r="G23" t="s">
        <v>405</v>
      </c>
    </row>
    <row r="24" spans="1:7" x14ac:dyDescent="0.2">
      <c r="A24" s="110">
        <v>113</v>
      </c>
      <c r="B24" t="s">
        <v>37</v>
      </c>
      <c r="C24" s="111">
        <v>35584</v>
      </c>
      <c r="D24" t="s">
        <v>538</v>
      </c>
      <c r="E24" t="s">
        <v>38</v>
      </c>
      <c r="F24" t="s">
        <v>519</v>
      </c>
      <c r="G24" s="73" t="s">
        <v>403</v>
      </c>
    </row>
    <row r="25" spans="1:7" x14ac:dyDescent="0.2">
      <c r="A25" s="110">
        <v>120</v>
      </c>
      <c r="B25" t="s">
        <v>39</v>
      </c>
      <c r="C25" s="111">
        <v>35654</v>
      </c>
      <c r="D25" t="s">
        <v>527</v>
      </c>
      <c r="E25" t="s">
        <v>10</v>
      </c>
      <c r="F25" t="s">
        <v>519</v>
      </c>
      <c r="G25" s="73" t="s">
        <v>407</v>
      </c>
    </row>
    <row r="26" spans="1:7" x14ac:dyDescent="0.2">
      <c r="A26" s="110">
        <v>123</v>
      </c>
      <c r="B26" t="s">
        <v>40</v>
      </c>
      <c r="C26" s="111">
        <v>36817</v>
      </c>
      <c r="D26" t="s">
        <v>527</v>
      </c>
      <c r="E26" t="s">
        <v>1</v>
      </c>
      <c r="F26" t="s">
        <v>528</v>
      </c>
      <c r="G26" s="73" t="s">
        <v>436</v>
      </c>
    </row>
    <row r="27" spans="1:7" x14ac:dyDescent="0.2">
      <c r="A27" s="110">
        <v>124</v>
      </c>
      <c r="B27" t="s">
        <v>41</v>
      </c>
      <c r="C27" s="111">
        <v>37088</v>
      </c>
      <c r="D27" t="s">
        <v>535</v>
      </c>
      <c r="E27" t="s">
        <v>42</v>
      </c>
      <c r="F27" t="s">
        <v>517</v>
      </c>
      <c r="G27" s="73" t="s">
        <v>405</v>
      </c>
    </row>
    <row r="28" spans="1:7" x14ac:dyDescent="0.2">
      <c r="A28" s="110">
        <v>125</v>
      </c>
      <c r="B28" t="s">
        <v>43</v>
      </c>
      <c r="C28" s="111">
        <v>35688</v>
      </c>
      <c r="D28" t="s">
        <v>538</v>
      </c>
      <c r="E28" t="s">
        <v>44</v>
      </c>
      <c r="F28" t="s">
        <v>519</v>
      </c>
      <c r="G28" s="73" t="s">
        <v>405</v>
      </c>
    </row>
    <row r="29" spans="1:7" x14ac:dyDescent="0.2">
      <c r="A29" s="110">
        <v>129</v>
      </c>
      <c r="B29" t="s">
        <v>45</v>
      </c>
      <c r="C29" s="111">
        <v>37321</v>
      </c>
      <c r="D29" t="s">
        <v>536</v>
      </c>
      <c r="E29" t="s">
        <v>46</v>
      </c>
      <c r="F29" t="s">
        <v>519</v>
      </c>
      <c r="G29" s="73" t="s">
        <v>405</v>
      </c>
    </row>
    <row r="30" spans="1:7" x14ac:dyDescent="0.2">
      <c r="A30" s="110">
        <v>131</v>
      </c>
      <c r="B30" t="s">
        <v>47</v>
      </c>
      <c r="C30" s="111">
        <v>37475</v>
      </c>
      <c r="D30" t="s">
        <v>527</v>
      </c>
      <c r="E30" t="s">
        <v>48</v>
      </c>
      <c r="F30" t="s">
        <v>534</v>
      </c>
      <c r="G30" s="73" t="s">
        <v>405</v>
      </c>
    </row>
    <row r="31" spans="1:7" x14ac:dyDescent="0.2">
      <c r="A31" s="110">
        <v>135</v>
      </c>
      <c r="B31" t="s">
        <v>49</v>
      </c>
      <c r="C31" s="111">
        <v>42584</v>
      </c>
      <c r="D31" t="s">
        <v>538</v>
      </c>
      <c r="E31" t="s">
        <v>44</v>
      </c>
      <c r="F31" t="s">
        <v>519</v>
      </c>
      <c r="G31" s="73" t="s">
        <v>405</v>
      </c>
    </row>
    <row r="32" spans="1:7" x14ac:dyDescent="0.2">
      <c r="A32" s="110">
        <v>138</v>
      </c>
      <c r="B32" t="s">
        <v>50</v>
      </c>
      <c r="C32" s="111">
        <v>42884</v>
      </c>
      <c r="D32" t="s">
        <v>536</v>
      </c>
      <c r="E32" t="s">
        <v>46</v>
      </c>
      <c r="F32" t="s">
        <v>519</v>
      </c>
      <c r="G32" s="73" t="s">
        <v>407</v>
      </c>
    </row>
    <row r="33" spans="1:7" x14ac:dyDescent="0.2">
      <c r="A33" s="110">
        <v>146</v>
      </c>
      <c r="B33" t="s">
        <v>51</v>
      </c>
      <c r="C33" s="111">
        <v>42828</v>
      </c>
      <c r="D33" t="s">
        <v>527</v>
      </c>
      <c r="E33" t="s">
        <v>52</v>
      </c>
      <c r="F33" t="s">
        <v>519</v>
      </c>
      <c r="G33" s="73" t="s">
        <v>409</v>
      </c>
    </row>
    <row r="34" spans="1:7" x14ac:dyDescent="0.2">
      <c r="A34" s="110">
        <v>149</v>
      </c>
      <c r="B34" t="s">
        <v>53</v>
      </c>
      <c r="C34" s="111">
        <v>35786</v>
      </c>
      <c r="D34" t="s">
        <v>527</v>
      </c>
      <c r="E34" t="s">
        <v>54</v>
      </c>
      <c r="F34" t="s">
        <v>519</v>
      </c>
      <c r="G34" s="73" t="s">
        <v>405</v>
      </c>
    </row>
    <row r="35" spans="1:7" x14ac:dyDescent="0.2">
      <c r="A35" s="110">
        <v>153</v>
      </c>
      <c r="B35" t="s">
        <v>55</v>
      </c>
      <c r="C35" s="111">
        <v>35836</v>
      </c>
      <c r="D35" t="s">
        <v>537</v>
      </c>
      <c r="E35" t="s">
        <v>56</v>
      </c>
      <c r="F35" t="s">
        <v>528</v>
      </c>
      <c r="G35" s="73" t="s">
        <v>436</v>
      </c>
    </row>
    <row r="36" spans="1:7" x14ac:dyDescent="0.2">
      <c r="A36" s="110">
        <v>171</v>
      </c>
      <c r="B36" t="s">
        <v>57</v>
      </c>
      <c r="C36" s="111">
        <v>36255</v>
      </c>
      <c r="D36" t="s">
        <v>527</v>
      </c>
      <c r="E36" t="s">
        <v>54</v>
      </c>
      <c r="F36" t="s">
        <v>519</v>
      </c>
      <c r="G36" s="73" t="s">
        <v>405</v>
      </c>
    </row>
    <row r="37" spans="1:7" x14ac:dyDescent="0.2">
      <c r="A37" s="110">
        <v>215</v>
      </c>
      <c r="B37" t="s">
        <v>58</v>
      </c>
      <c r="C37" s="111">
        <v>36746</v>
      </c>
      <c r="D37" t="s">
        <v>527</v>
      </c>
      <c r="E37" t="s">
        <v>59</v>
      </c>
      <c r="F37" t="s">
        <v>528</v>
      </c>
      <c r="G37" s="73" t="s">
        <v>436</v>
      </c>
    </row>
    <row r="38" spans="1:7" x14ac:dyDescent="0.2">
      <c r="A38" s="110">
        <v>218</v>
      </c>
      <c r="B38" t="s">
        <v>60</v>
      </c>
      <c r="C38" s="111">
        <v>41099</v>
      </c>
      <c r="D38" t="s">
        <v>527</v>
      </c>
      <c r="E38" t="s">
        <v>61</v>
      </c>
      <c r="F38" t="s">
        <v>519</v>
      </c>
      <c r="G38" s="73" t="s">
        <v>407</v>
      </c>
    </row>
    <row r="39" spans="1:7" x14ac:dyDescent="0.2">
      <c r="A39" s="110">
        <v>219</v>
      </c>
      <c r="B39" t="s">
        <v>62</v>
      </c>
      <c r="C39" s="111">
        <v>36780</v>
      </c>
      <c r="D39" t="s">
        <v>527</v>
      </c>
      <c r="E39" t="s">
        <v>10</v>
      </c>
      <c r="F39" t="s">
        <v>519</v>
      </c>
      <c r="G39" s="73" t="s">
        <v>407</v>
      </c>
    </row>
    <row r="40" spans="1:7" x14ac:dyDescent="0.2">
      <c r="A40" s="110">
        <v>225</v>
      </c>
      <c r="B40" t="s">
        <v>63</v>
      </c>
      <c r="C40" s="111">
        <v>36829</v>
      </c>
      <c r="D40" t="s">
        <v>537</v>
      </c>
      <c r="E40" t="s">
        <v>64</v>
      </c>
      <c r="F40" t="s">
        <v>534</v>
      </c>
      <c r="G40" s="73" t="s">
        <v>405</v>
      </c>
    </row>
    <row r="41" spans="1:7" x14ac:dyDescent="0.2">
      <c r="A41" s="110">
        <v>227</v>
      </c>
      <c r="B41" t="s">
        <v>65</v>
      </c>
      <c r="C41" s="111">
        <v>36829</v>
      </c>
      <c r="D41" t="s">
        <v>527</v>
      </c>
      <c r="E41" t="s">
        <v>10</v>
      </c>
      <c r="F41" t="s">
        <v>519</v>
      </c>
      <c r="G41" s="73" t="s">
        <v>407</v>
      </c>
    </row>
    <row r="42" spans="1:7" x14ac:dyDescent="0.2">
      <c r="A42" s="110">
        <v>230</v>
      </c>
      <c r="B42" t="s">
        <v>66</v>
      </c>
      <c r="C42" s="111">
        <v>36831</v>
      </c>
      <c r="D42" t="s">
        <v>537</v>
      </c>
      <c r="E42" t="s">
        <v>56</v>
      </c>
      <c r="F42" t="s">
        <v>528</v>
      </c>
      <c r="G42" s="73" t="s">
        <v>436</v>
      </c>
    </row>
    <row r="43" spans="1:7" x14ac:dyDescent="0.2">
      <c r="A43" s="110">
        <v>231</v>
      </c>
      <c r="B43" t="s">
        <v>67</v>
      </c>
      <c r="C43" s="111">
        <v>36832</v>
      </c>
      <c r="D43" t="s">
        <v>527</v>
      </c>
      <c r="E43" t="s">
        <v>10</v>
      </c>
      <c r="F43" t="s">
        <v>519</v>
      </c>
      <c r="G43" s="73" t="s">
        <v>407</v>
      </c>
    </row>
    <row r="44" spans="1:7" x14ac:dyDescent="0.2">
      <c r="A44" s="110">
        <v>239</v>
      </c>
      <c r="B44" t="s">
        <v>68</v>
      </c>
      <c r="C44" s="111">
        <v>40581</v>
      </c>
      <c r="D44" t="s">
        <v>535</v>
      </c>
      <c r="E44" t="s">
        <v>69</v>
      </c>
      <c r="F44" t="s">
        <v>534</v>
      </c>
      <c r="G44" s="73" t="s">
        <v>405</v>
      </c>
    </row>
    <row r="45" spans="1:7" x14ac:dyDescent="0.2">
      <c r="A45" s="110">
        <v>248</v>
      </c>
      <c r="B45" t="s">
        <v>70</v>
      </c>
      <c r="C45" s="111">
        <v>40597</v>
      </c>
      <c r="D45" t="s">
        <v>527</v>
      </c>
      <c r="E45" t="s">
        <v>10</v>
      </c>
      <c r="F45" t="s">
        <v>519</v>
      </c>
      <c r="G45" s="73" t="s">
        <v>407</v>
      </c>
    </row>
    <row r="46" spans="1:7" x14ac:dyDescent="0.2">
      <c r="A46" s="110">
        <v>253</v>
      </c>
      <c r="B46" t="s">
        <v>71</v>
      </c>
      <c r="C46" s="111">
        <v>43587</v>
      </c>
      <c r="D46" t="s">
        <v>537</v>
      </c>
      <c r="E46" t="s">
        <v>64</v>
      </c>
      <c r="F46" t="s">
        <v>534</v>
      </c>
      <c r="G46" s="73" t="s">
        <v>405</v>
      </c>
    </row>
    <row r="47" spans="1:7" x14ac:dyDescent="0.2">
      <c r="A47" s="110">
        <v>254</v>
      </c>
      <c r="B47" t="s">
        <v>72</v>
      </c>
      <c r="C47" s="111">
        <v>37319</v>
      </c>
      <c r="D47" t="s">
        <v>527</v>
      </c>
      <c r="E47" t="s">
        <v>59</v>
      </c>
      <c r="F47" t="s">
        <v>528</v>
      </c>
      <c r="G47" s="73" t="s">
        <v>436</v>
      </c>
    </row>
    <row r="48" spans="1:7" x14ac:dyDescent="0.2">
      <c r="A48" s="110">
        <v>261</v>
      </c>
      <c r="B48" t="s">
        <v>73</v>
      </c>
      <c r="C48" s="111">
        <v>41157</v>
      </c>
      <c r="D48" t="s">
        <v>538</v>
      </c>
      <c r="E48" t="s">
        <v>74</v>
      </c>
      <c r="F48" t="s">
        <v>517</v>
      </c>
      <c r="G48" s="73" t="s">
        <v>405</v>
      </c>
    </row>
    <row r="49" spans="1:7" x14ac:dyDescent="0.2">
      <c r="A49" s="110">
        <v>269</v>
      </c>
      <c r="B49" t="s">
        <v>75</v>
      </c>
      <c r="C49" s="111">
        <v>37676</v>
      </c>
      <c r="D49" t="s">
        <v>532</v>
      </c>
      <c r="E49" t="s">
        <v>76</v>
      </c>
      <c r="F49" t="s">
        <v>519</v>
      </c>
      <c r="G49" s="73" t="s">
        <v>407</v>
      </c>
    </row>
    <row r="50" spans="1:7" x14ac:dyDescent="0.2">
      <c r="A50" s="110">
        <v>276</v>
      </c>
      <c r="B50" t="s">
        <v>77</v>
      </c>
      <c r="C50" s="111">
        <v>37831</v>
      </c>
      <c r="D50" t="s">
        <v>535</v>
      </c>
      <c r="E50" t="s">
        <v>69</v>
      </c>
      <c r="F50" t="s">
        <v>534</v>
      </c>
      <c r="G50" s="73" t="s">
        <v>405</v>
      </c>
    </row>
    <row r="51" spans="1:7" x14ac:dyDescent="0.2">
      <c r="A51" s="110">
        <v>279</v>
      </c>
      <c r="B51" t="s">
        <v>78</v>
      </c>
      <c r="C51" s="111">
        <v>38938</v>
      </c>
      <c r="D51" t="s">
        <v>527</v>
      </c>
      <c r="E51" t="s">
        <v>48</v>
      </c>
      <c r="F51" t="s">
        <v>534</v>
      </c>
      <c r="G51" s="73" t="s">
        <v>405</v>
      </c>
    </row>
    <row r="52" spans="1:7" x14ac:dyDescent="0.2">
      <c r="A52" s="110">
        <v>300</v>
      </c>
      <c r="B52" t="s">
        <v>79</v>
      </c>
      <c r="C52" s="111">
        <v>38215</v>
      </c>
      <c r="D52" t="s">
        <v>527</v>
      </c>
      <c r="E52" t="s">
        <v>48</v>
      </c>
      <c r="F52" t="s">
        <v>534</v>
      </c>
      <c r="G52" s="73" t="s">
        <v>405</v>
      </c>
    </row>
    <row r="53" spans="1:7" x14ac:dyDescent="0.2">
      <c r="A53" s="110">
        <v>309</v>
      </c>
      <c r="B53" t="s">
        <v>80</v>
      </c>
      <c r="C53" s="111">
        <v>38322</v>
      </c>
      <c r="D53" t="s">
        <v>527</v>
      </c>
      <c r="E53" t="s">
        <v>54</v>
      </c>
      <c r="F53" t="s">
        <v>519</v>
      </c>
      <c r="G53" s="73" t="s">
        <v>405</v>
      </c>
    </row>
    <row r="54" spans="1:7" x14ac:dyDescent="0.2">
      <c r="A54" s="110">
        <v>315</v>
      </c>
      <c r="B54" t="s">
        <v>81</v>
      </c>
      <c r="C54" s="111">
        <v>41080</v>
      </c>
      <c r="D54" t="s">
        <v>527</v>
      </c>
      <c r="E54" t="s">
        <v>10</v>
      </c>
      <c r="F54" t="s">
        <v>519</v>
      </c>
      <c r="G54" s="73" t="s">
        <v>407</v>
      </c>
    </row>
    <row r="55" spans="1:7" x14ac:dyDescent="0.2">
      <c r="A55" s="110">
        <v>317</v>
      </c>
      <c r="B55" t="s">
        <v>82</v>
      </c>
      <c r="C55" s="111">
        <v>38411</v>
      </c>
      <c r="D55" t="s">
        <v>531</v>
      </c>
      <c r="E55" t="s">
        <v>28</v>
      </c>
      <c r="F55" t="s">
        <v>534</v>
      </c>
      <c r="G55" t="s">
        <v>407</v>
      </c>
    </row>
    <row r="56" spans="1:7" x14ac:dyDescent="0.2">
      <c r="A56" s="110">
        <v>319</v>
      </c>
      <c r="B56" t="s">
        <v>83</v>
      </c>
      <c r="C56" s="111">
        <v>38435</v>
      </c>
      <c r="D56" t="s">
        <v>527</v>
      </c>
      <c r="E56" t="s">
        <v>59</v>
      </c>
      <c r="F56" t="s">
        <v>528</v>
      </c>
      <c r="G56" s="73" t="s">
        <v>405</v>
      </c>
    </row>
    <row r="57" spans="1:7" x14ac:dyDescent="0.2">
      <c r="A57" s="110">
        <v>329</v>
      </c>
      <c r="B57" t="s">
        <v>84</v>
      </c>
      <c r="C57" s="111">
        <v>38530</v>
      </c>
      <c r="D57" t="s">
        <v>527</v>
      </c>
      <c r="E57" t="s">
        <v>48</v>
      </c>
      <c r="F57" t="s">
        <v>534</v>
      </c>
      <c r="G57" s="73" t="s">
        <v>405</v>
      </c>
    </row>
    <row r="58" spans="1:7" x14ac:dyDescent="0.2">
      <c r="A58" s="110">
        <v>340</v>
      </c>
      <c r="B58" t="s">
        <v>85</v>
      </c>
      <c r="C58" s="111">
        <v>41911</v>
      </c>
      <c r="D58" t="s">
        <v>527</v>
      </c>
      <c r="E58" t="s">
        <v>86</v>
      </c>
      <c r="F58" t="s">
        <v>519</v>
      </c>
      <c r="G58" s="73" t="s">
        <v>407</v>
      </c>
    </row>
    <row r="59" spans="1:7" x14ac:dyDescent="0.2">
      <c r="A59" s="110">
        <v>354</v>
      </c>
      <c r="B59" t="s">
        <v>87</v>
      </c>
      <c r="C59" s="111">
        <v>38670</v>
      </c>
      <c r="D59" t="s">
        <v>527</v>
      </c>
      <c r="E59" t="s">
        <v>10</v>
      </c>
      <c r="F59" t="s">
        <v>519</v>
      </c>
      <c r="G59" s="73" t="s">
        <v>407</v>
      </c>
    </row>
    <row r="60" spans="1:7" x14ac:dyDescent="0.2">
      <c r="A60" s="110">
        <v>380</v>
      </c>
      <c r="B60" t="s">
        <v>88</v>
      </c>
      <c r="C60" s="111">
        <v>40582</v>
      </c>
      <c r="D60" t="s">
        <v>527</v>
      </c>
      <c r="E60" t="s">
        <v>10</v>
      </c>
      <c r="F60" t="s">
        <v>519</v>
      </c>
      <c r="G60" s="73" t="s">
        <v>407</v>
      </c>
    </row>
    <row r="61" spans="1:7" x14ac:dyDescent="0.2">
      <c r="A61" s="110">
        <v>387</v>
      </c>
      <c r="B61" t="s">
        <v>89</v>
      </c>
      <c r="C61" s="111">
        <v>38992</v>
      </c>
      <c r="D61" t="s">
        <v>527</v>
      </c>
      <c r="E61" t="s">
        <v>90</v>
      </c>
      <c r="F61" t="s">
        <v>534</v>
      </c>
      <c r="G61" s="73" t="s">
        <v>405</v>
      </c>
    </row>
    <row r="62" spans="1:7" x14ac:dyDescent="0.2">
      <c r="A62" s="110">
        <v>417</v>
      </c>
      <c r="B62" t="s">
        <v>91</v>
      </c>
      <c r="C62" s="111">
        <v>40532</v>
      </c>
      <c r="D62" t="s">
        <v>527</v>
      </c>
      <c r="E62" t="s">
        <v>54</v>
      </c>
      <c r="F62" t="s">
        <v>519</v>
      </c>
      <c r="G62" s="73" t="s">
        <v>405</v>
      </c>
    </row>
    <row r="63" spans="1:7" x14ac:dyDescent="0.2">
      <c r="A63" s="110">
        <v>421</v>
      </c>
      <c r="B63" t="s">
        <v>92</v>
      </c>
      <c r="C63" s="111">
        <v>39258</v>
      </c>
      <c r="D63" t="s">
        <v>537</v>
      </c>
      <c r="E63" t="s">
        <v>64</v>
      </c>
      <c r="F63" t="s">
        <v>534</v>
      </c>
      <c r="G63" s="73" t="s">
        <v>405</v>
      </c>
    </row>
    <row r="64" spans="1:7" x14ac:dyDescent="0.2">
      <c r="A64" s="110">
        <v>1767</v>
      </c>
      <c r="B64" t="s">
        <v>93</v>
      </c>
      <c r="C64" s="111">
        <v>39804</v>
      </c>
      <c r="D64" t="s">
        <v>527</v>
      </c>
      <c r="E64" t="s">
        <v>59</v>
      </c>
      <c r="F64" t="s">
        <v>528</v>
      </c>
      <c r="G64" s="73" t="s">
        <v>436</v>
      </c>
    </row>
    <row r="65" spans="1:7" x14ac:dyDescent="0.2">
      <c r="A65" s="110">
        <v>1769</v>
      </c>
      <c r="B65" t="s">
        <v>94</v>
      </c>
      <c r="C65" s="111">
        <v>39825</v>
      </c>
      <c r="D65" t="s">
        <v>533</v>
      </c>
      <c r="E65" t="s">
        <v>95</v>
      </c>
      <c r="F65" t="s">
        <v>518</v>
      </c>
      <c r="G65" t="s">
        <v>409</v>
      </c>
    </row>
    <row r="66" spans="1:7" x14ac:dyDescent="0.2">
      <c r="A66" s="110">
        <v>1798</v>
      </c>
      <c r="B66" t="s">
        <v>96</v>
      </c>
      <c r="C66" s="111">
        <v>39882</v>
      </c>
      <c r="D66" t="s">
        <v>527</v>
      </c>
      <c r="E66" t="s">
        <v>10</v>
      </c>
      <c r="F66" t="s">
        <v>519</v>
      </c>
      <c r="G66" s="73" t="s">
        <v>407</v>
      </c>
    </row>
    <row r="67" spans="1:7" x14ac:dyDescent="0.2">
      <c r="A67" s="110">
        <v>1848</v>
      </c>
      <c r="B67" t="s">
        <v>97</v>
      </c>
      <c r="C67" s="111">
        <v>42667</v>
      </c>
      <c r="D67" t="s">
        <v>527</v>
      </c>
      <c r="E67" t="s">
        <v>86</v>
      </c>
      <c r="F67" t="s">
        <v>519</v>
      </c>
      <c r="G67" s="73" t="s">
        <v>407</v>
      </c>
    </row>
    <row r="68" spans="1:7" x14ac:dyDescent="0.2">
      <c r="A68" s="110">
        <v>1849</v>
      </c>
      <c r="B68" t="s">
        <v>98</v>
      </c>
      <c r="C68" s="111">
        <v>39958</v>
      </c>
      <c r="D68" t="s">
        <v>527</v>
      </c>
      <c r="E68" t="s">
        <v>99</v>
      </c>
      <c r="F68" t="s">
        <v>534</v>
      </c>
      <c r="G68" s="73" t="s">
        <v>405</v>
      </c>
    </row>
    <row r="69" spans="1:7" x14ac:dyDescent="0.2">
      <c r="A69" s="110">
        <v>1891</v>
      </c>
      <c r="B69" t="s">
        <v>100</v>
      </c>
      <c r="C69" s="111">
        <v>40028</v>
      </c>
      <c r="D69" t="s">
        <v>527</v>
      </c>
      <c r="E69" t="s">
        <v>54</v>
      </c>
      <c r="F69" t="s">
        <v>519</v>
      </c>
      <c r="G69" s="73" t="s">
        <v>405</v>
      </c>
    </row>
    <row r="70" spans="1:7" x14ac:dyDescent="0.2">
      <c r="A70" s="110">
        <v>1894</v>
      </c>
      <c r="B70" t="s">
        <v>101</v>
      </c>
      <c r="C70" s="111">
        <v>41225</v>
      </c>
      <c r="D70" t="s">
        <v>535</v>
      </c>
      <c r="E70" t="s">
        <v>102</v>
      </c>
      <c r="F70" t="s">
        <v>518</v>
      </c>
      <c r="G70" s="73" t="s">
        <v>407</v>
      </c>
    </row>
    <row r="71" spans="1:7" x14ac:dyDescent="0.2">
      <c r="A71" s="110">
        <v>1899</v>
      </c>
      <c r="B71" t="s">
        <v>103</v>
      </c>
      <c r="C71" s="111">
        <v>40035</v>
      </c>
      <c r="D71" t="s">
        <v>535</v>
      </c>
      <c r="E71" t="s">
        <v>104</v>
      </c>
      <c r="F71" t="s">
        <v>519</v>
      </c>
      <c r="G71" s="73" t="s">
        <v>407</v>
      </c>
    </row>
    <row r="72" spans="1:7" x14ac:dyDescent="0.2">
      <c r="A72" s="110">
        <v>1937</v>
      </c>
      <c r="B72" t="s">
        <v>105</v>
      </c>
      <c r="C72" s="111">
        <v>40070</v>
      </c>
      <c r="D72" t="s">
        <v>537</v>
      </c>
      <c r="E72" t="s">
        <v>106</v>
      </c>
      <c r="F72" t="s">
        <v>534</v>
      </c>
      <c r="G72" s="73" t="s">
        <v>405</v>
      </c>
    </row>
    <row r="73" spans="1:7" x14ac:dyDescent="0.2">
      <c r="A73" s="110">
        <v>1991</v>
      </c>
      <c r="B73" t="s">
        <v>107</v>
      </c>
      <c r="C73" s="111">
        <v>40175</v>
      </c>
      <c r="D73" t="s">
        <v>537</v>
      </c>
      <c r="E73" t="s">
        <v>106</v>
      </c>
      <c r="F73" t="s">
        <v>534</v>
      </c>
      <c r="G73" s="73" t="s">
        <v>405</v>
      </c>
    </row>
    <row r="74" spans="1:7" x14ac:dyDescent="0.2">
      <c r="A74" s="110">
        <v>1999</v>
      </c>
      <c r="B74" t="s">
        <v>108</v>
      </c>
      <c r="C74" s="111">
        <v>40191</v>
      </c>
      <c r="D74" t="s">
        <v>527</v>
      </c>
      <c r="E74" t="s">
        <v>109</v>
      </c>
      <c r="F74" t="s">
        <v>519</v>
      </c>
      <c r="G74" s="73" t="s">
        <v>405</v>
      </c>
    </row>
    <row r="75" spans="1:7" x14ac:dyDescent="0.2">
      <c r="A75" s="110">
        <v>2008</v>
      </c>
      <c r="B75" t="s">
        <v>110</v>
      </c>
      <c r="C75" s="111">
        <v>40204</v>
      </c>
      <c r="D75" t="s">
        <v>527</v>
      </c>
      <c r="E75" t="s">
        <v>86</v>
      </c>
      <c r="F75" t="s">
        <v>519</v>
      </c>
      <c r="G75" s="73" t="s">
        <v>407</v>
      </c>
    </row>
    <row r="76" spans="1:7" x14ac:dyDescent="0.2">
      <c r="A76" s="110">
        <v>2041</v>
      </c>
      <c r="B76" t="s">
        <v>111</v>
      </c>
      <c r="C76" s="111">
        <v>40254</v>
      </c>
      <c r="D76" t="s">
        <v>527</v>
      </c>
      <c r="E76" t="s">
        <v>99</v>
      </c>
      <c r="F76" t="s">
        <v>534</v>
      </c>
      <c r="G76" s="73" t="s">
        <v>405</v>
      </c>
    </row>
    <row r="77" spans="1:7" x14ac:dyDescent="0.2">
      <c r="A77" s="110">
        <v>2062</v>
      </c>
      <c r="B77" t="s">
        <v>112</v>
      </c>
      <c r="C77" s="111">
        <v>40290</v>
      </c>
      <c r="D77" t="s">
        <v>537</v>
      </c>
      <c r="E77" t="s">
        <v>56</v>
      </c>
      <c r="F77" t="s">
        <v>528</v>
      </c>
      <c r="G77" s="73" t="s">
        <v>436</v>
      </c>
    </row>
    <row r="78" spans="1:7" x14ac:dyDescent="0.2">
      <c r="A78" s="110">
        <v>2138</v>
      </c>
      <c r="B78" t="s">
        <v>113</v>
      </c>
      <c r="C78" s="111">
        <v>40345</v>
      </c>
      <c r="D78" t="s">
        <v>536</v>
      </c>
      <c r="E78" t="s">
        <v>22</v>
      </c>
      <c r="F78" t="s">
        <v>517</v>
      </c>
      <c r="G78" s="73" t="s">
        <v>405</v>
      </c>
    </row>
    <row r="79" spans="1:7" x14ac:dyDescent="0.2">
      <c r="A79" s="110">
        <v>2154</v>
      </c>
      <c r="B79" t="s">
        <v>114</v>
      </c>
      <c r="C79" s="111">
        <v>40385</v>
      </c>
      <c r="D79" t="s">
        <v>527</v>
      </c>
      <c r="E79" t="s">
        <v>90</v>
      </c>
      <c r="F79" t="s">
        <v>534</v>
      </c>
      <c r="G79" s="73" t="s">
        <v>405</v>
      </c>
    </row>
    <row r="80" spans="1:7" x14ac:dyDescent="0.2">
      <c r="A80" s="110">
        <v>2190</v>
      </c>
      <c r="B80" t="s">
        <v>115</v>
      </c>
      <c r="C80" s="111">
        <v>40449</v>
      </c>
      <c r="D80" t="s">
        <v>527</v>
      </c>
      <c r="E80" t="s">
        <v>10</v>
      </c>
      <c r="F80" t="s">
        <v>519</v>
      </c>
      <c r="G80" s="73" t="s">
        <v>407</v>
      </c>
    </row>
    <row r="81" spans="1:7" x14ac:dyDescent="0.2">
      <c r="A81" s="110">
        <v>2233</v>
      </c>
      <c r="B81" t="s">
        <v>116</v>
      </c>
      <c r="C81" s="111">
        <v>40513</v>
      </c>
      <c r="D81" t="s">
        <v>532</v>
      </c>
      <c r="E81" t="s">
        <v>76</v>
      </c>
      <c r="F81" t="s">
        <v>519</v>
      </c>
      <c r="G81" s="73" t="s">
        <v>407</v>
      </c>
    </row>
    <row r="82" spans="1:7" x14ac:dyDescent="0.2">
      <c r="A82" s="110">
        <v>2280</v>
      </c>
      <c r="B82" t="s">
        <v>117</v>
      </c>
      <c r="C82" s="111">
        <v>40575</v>
      </c>
      <c r="D82" t="s">
        <v>527</v>
      </c>
      <c r="E82" t="s">
        <v>10</v>
      </c>
      <c r="F82" t="s">
        <v>519</v>
      </c>
      <c r="G82" s="73" t="s">
        <v>407</v>
      </c>
    </row>
    <row r="83" spans="1:7" x14ac:dyDescent="0.2">
      <c r="A83" s="110">
        <v>2304</v>
      </c>
      <c r="B83" t="s">
        <v>118</v>
      </c>
      <c r="C83" s="111">
        <v>40611</v>
      </c>
      <c r="D83" t="s">
        <v>527</v>
      </c>
      <c r="E83" t="s">
        <v>61</v>
      </c>
      <c r="F83" t="s">
        <v>519</v>
      </c>
      <c r="G83" s="73" t="s">
        <v>407</v>
      </c>
    </row>
    <row r="84" spans="1:7" x14ac:dyDescent="0.2">
      <c r="A84" s="110">
        <v>2345</v>
      </c>
      <c r="B84" t="s">
        <v>119</v>
      </c>
      <c r="C84" s="111">
        <v>40665</v>
      </c>
      <c r="D84" t="s">
        <v>537</v>
      </c>
      <c r="E84" t="s">
        <v>56</v>
      </c>
      <c r="F84" t="s">
        <v>528</v>
      </c>
      <c r="G84" s="73" t="s">
        <v>436</v>
      </c>
    </row>
    <row r="85" spans="1:7" x14ac:dyDescent="0.2">
      <c r="A85" s="110">
        <v>2376</v>
      </c>
      <c r="B85" t="s">
        <v>120</v>
      </c>
      <c r="C85" s="111">
        <v>40700</v>
      </c>
      <c r="D85" t="s">
        <v>527</v>
      </c>
      <c r="E85" t="s">
        <v>10</v>
      </c>
      <c r="F85" t="s">
        <v>519</v>
      </c>
      <c r="G85" s="73" t="s">
        <v>407</v>
      </c>
    </row>
    <row r="86" spans="1:7" x14ac:dyDescent="0.2">
      <c r="A86" s="110">
        <v>2437</v>
      </c>
      <c r="B86" t="s">
        <v>121</v>
      </c>
      <c r="C86" s="111">
        <v>40735</v>
      </c>
      <c r="D86" t="s">
        <v>527</v>
      </c>
      <c r="E86" t="s">
        <v>122</v>
      </c>
      <c r="F86" t="s">
        <v>517</v>
      </c>
      <c r="G86" s="73" t="s">
        <v>405</v>
      </c>
    </row>
    <row r="87" spans="1:7" x14ac:dyDescent="0.2">
      <c r="A87" s="110">
        <v>2462</v>
      </c>
      <c r="B87" t="s">
        <v>123</v>
      </c>
      <c r="C87" s="111">
        <v>40742</v>
      </c>
      <c r="D87" t="s">
        <v>527</v>
      </c>
      <c r="E87" t="s">
        <v>86</v>
      </c>
      <c r="F87" t="s">
        <v>519</v>
      </c>
      <c r="G87" s="73" t="s">
        <v>407</v>
      </c>
    </row>
    <row r="88" spans="1:7" x14ac:dyDescent="0.2">
      <c r="A88" s="110">
        <v>2542</v>
      </c>
      <c r="B88" t="s">
        <v>124</v>
      </c>
      <c r="C88" s="111">
        <v>40791</v>
      </c>
      <c r="D88" t="s">
        <v>537</v>
      </c>
      <c r="E88" t="s">
        <v>125</v>
      </c>
      <c r="F88" t="s">
        <v>519</v>
      </c>
      <c r="G88" s="73" t="s">
        <v>407</v>
      </c>
    </row>
    <row r="89" spans="1:7" x14ac:dyDescent="0.2">
      <c r="A89" s="110">
        <v>2556</v>
      </c>
      <c r="B89" t="s">
        <v>126</v>
      </c>
      <c r="C89" s="111">
        <v>40805</v>
      </c>
      <c r="D89" t="s">
        <v>538</v>
      </c>
      <c r="E89" t="s">
        <v>127</v>
      </c>
      <c r="F89" t="s">
        <v>534</v>
      </c>
      <c r="G89" s="73" t="s">
        <v>405</v>
      </c>
    </row>
    <row r="90" spans="1:7" x14ac:dyDescent="0.2">
      <c r="A90" s="110">
        <v>2628</v>
      </c>
      <c r="B90" t="s">
        <v>128</v>
      </c>
      <c r="C90" s="111">
        <v>40882</v>
      </c>
      <c r="D90" t="s">
        <v>527</v>
      </c>
      <c r="E90" t="s">
        <v>90</v>
      </c>
      <c r="F90" t="s">
        <v>534</v>
      </c>
      <c r="G90" s="73" t="s">
        <v>405</v>
      </c>
    </row>
    <row r="91" spans="1:7" x14ac:dyDescent="0.2">
      <c r="A91" s="110">
        <v>2629</v>
      </c>
      <c r="B91" t="s">
        <v>129</v>
      </c>
      <c r="C91" s="111">
        <v>40882</v>
      </c>
      <c r="D91" t="s">
        <v>527</v>
      </c>
      <c r="E91" t="s">
        <v>99</v>
      </c>
      <c r="F91" t="s">
        <v>534</v>
      </c>
      <c r="G91" s="73" t="s">
        <v>405</v>
      </c>
    </row>
    <row r="92" spans="1:7" x14ac:dyDescent="0.2">
      <c r="A92" s="110">
        <v>2635</v>
      </c>
      <c r="B92" t="s">
        <v>130</v>
      </c>
      <c r="C92" s="111">
        <v>40896</v>
      </c>
      <c r="D92" t="s">
        <v>536</v>
      </c>
      <c r="E92" t="s">
        <v>46</v>
      </c>
      <c r="F92" t="s">
        <v>519</v>
      </c>
      <c r="G92" s="73" t="s">
        <v>407</v>
      </c>
    </row>
    <row r="93" spans="1:7" x14ac:dyDescent="0.2">
      <c r="A93" s="110">
        <v>2696</v>
      </c>
      <c r="B93" t="s">
        <v>131</v>
      </c>
      <c r="C93" s="111">
        <v>40959</v>
      </c>
      <c r="D93" t="s">
        <v>536</v>
      </c>
      <c r="E93" t="s">
        <v>26</v>
      </c>
      <c r="F93" t="s">
        <v>534</v>
      </c>
      <c r="G93" s="73" t="s">
        <v>405</v>
      </c>
    </row>
    <row r="94" spans="1:7" x14ac:dyDescent="0.2">
      <c r="A94" s="110">
        <v>2815</v>
      </c>
      <c r="B94" t="s">
        <v>132</v>
      </c>
      <c r="C94" s="111">
        <v>41064</v>
      </c>
      <c r="D94" t="s">
        <v>527</v>
      </c>
      <c r="E94" t="s">
        <v>61</v>
      </c>
      <c r="F94" t="s">
        <v>519</v>
      </c>
      <c r="G94" s="73" t="s">
        <v>407</v>
      </c>
    </row>
    <row r="95" spans="1:7" x14ac:dyDescent="0.2">
      <c r="A95" s="110">
        <v>2865</v>
      </c>
      <c r="B95" t="s">
        <v>133</v>
      </c>
      <c r="C95" s="111">
        <v>41099</v>
      </c>
      <c r="D95" t="s">
        <v>527</v>
      </c>
      <c r="E95" t="s">
        <v>10</v>
      </c>
      <c r="F95" t="s">
        <v>519</v>
      </c>
      <c r="G95" s="73" t="s">
        <v>407</v>
      </c>
    </row>
    <row r="96" spans="1:7" x14ac:dyDescent="0.2">
      <c r="A96" s="110">
        <v>2867</v>
      </c>
      <c r="B96" t="s">
        <v>134</v>
      </c>
      <c r="C96" s="111">
        <v>41099</v>
      </c>
      <c r="D96" t="s">
        <v>536</v>
      </c>
      <c r="E96" t="s">
        <v>46</v>
      </c>
      <c r="F96" t="s">
        <v>519</v>
      </c>
      <c r="G96" s="73" t="s">
        <v>407</v>
      </c>
    </row>
    <row r="97" spans="1:7" x14ac:dyDescent="0.2">
      <c r="A97" s="110">
        <v>3111</v>
      </c>
      <c r="B97" t="s">
        <v>135</v>
      </c>
      <c r="C97" s="111">
        <v>41428</v>
      </c>
      <c r="D97" t="s">
        <v>533</v>
      </c>
      <c r="E97" t="s">
        <v>102</v>
      </c>
      <c r="F97" t="s">
        <v>518</v>
      </c>
      <c r="G97" t="s">
        <v>407</v>
      </c>
    </row>
    <row r="98" spans="1:7" x14ac:dyDescent="0.2">
      <c r="A98" s="110">
        <v>3113</v>
      </c>
      <c r="B98" t="s">
        <v>136</v>
      </c>
      <c r="C98" s="111">
        <v>41428</v>
      </c>
      <c r="D98" t="s">
        <v>527</v>
      </c>
      <c r="E98" t="s">
        <v>61</v>
      </c>
      <c r="F98" t="s">
        <v>519</v>
      </c>
      <c r="G98" s="73" t="s">
        <v>407</v>
      </c>
    </row>
    <row r="99" spans="1:7" x14ac:dyDescent="0.2">
      <c r="A99" s="110">
        <v>3176</v>
      </c>
      <c r="B99" t="s">
        <v>137</v>
      </c>
      <c r="C99" s="111">
        <v>43514</v>
      </c>
      <c r="D99" t="s">
        <v>527</v>
      </c>
      <c r="E99" t="s">
        <v>61</v>
      </c>
      <c r="F99" t="s">
        <v>519</v>
      </c>
      <c r="G99" s="73" t="s">
        <v>409</v>
      </c>
    </row>
    <row r="100" spans="1:7" x14ac:dyDescent="0.2">
      <c r="A100" s="110">
        <v>3351</v>
      </c>
      <c r="B100" t="s">
        <v>138</v>
      </c>
      <c r="C100" s="111">
        <v>41632</v>
      </c>
      <c r="D100" t="s">
        <v>527</v>
      </c>
      <c r="E100" t="s">
        <v>54</v>
      </c>
      <c r="F100" t="s">
        <v>519</v>
      </c>
      <c r="G100" s="73" t="s">
        <v>407</v>
      </c>
    </row>
    <row r="101" spans="1:7" x14ac:dyDescent="0.2">
      <c r="A101" s="110">
        <v>3366</v>
      </c>
      <c r="B101" t="s">
        <v>139</v>
      </c>
      <c r="C101" s="111">
        <v>41641</v>
      </c>
      <c r="D101" t="s">
        <v>537</v>
      </c>
      <c r="E101" t="s">
        <v>64</v>
      </c>
      <c r="F101" t="s">
        <v>534</v>
      </c>
      <c r="G101" s="73" t="s">
        <v>407</v>
      </c>
    </row>
    <row r="102" spans="1:7" x14ac:dyDescent="0.2">
      <c r="A102" s="110">
        <v>3410</v>
      </c>
      <c r="B102" t="s">
        <v>140</v>
      </c>
      <c r="C102" s="111">
        <v>41680</v>
      </c>
      <c r="D102" t="s">
        <v>527</v>
      </c>
      <c r="E102" t="s">
        <v>141</v>
      </c>
      <c r="F102" t="s">
        <v>517</v>
      </c>
      <c r="G102" s="73" t="s">
        <v>407</v>
      </c>
    </row>
    <row r="103" spans="1:7" x14ac:dyDescent="0.2">
      <c r="A103" s="110">
        <v>3412</v>
      </c>
      <c r="B103" t="s">
        <v>142</v>
      </c>
      <c r="C103" s="111">
        <v>41680</v>
      </c>
      <c r="D103" t="s">
        <v>538</v>
      </c>
      <c r="E103" t="s">
        <v>143</v>
      </c>
      <c r="F103" t="s">
        <v>519</v>
      </c>
      <c r="G103" s="73" t="s">
        <v>405</v>
      </c>
    </row>
    <row r="104" spans="1:7" x14ac:dyDescent="0.2">
      <c r="A104" s="110">
        <v>3438</v>
      </c>
      <c r="B104" t="s">
        <v>144</v>
      </c>
      <c r="C104" s="111">
        <v>41764</v>
      </c>
      <c r="D104" t="s">
        <v>527</v>
      </c>
      <c r="E104" t="s">
        <v>90</v>
      </c>
      <c r="F104" t="s">
        <v>534</v>
      </c>
      <c r="G104" s="73" t="s">
        <v>407</v>
      </c>
    </row>
    <row r="105" spans="1:7" x14ac:dyDescent="0.2">
      <c r="A105" s="110">
        <v>3443</v>
      </c>
      <c r="B105" t="s">
        <v>145</v>
      </c>
      <c r="C105" s="111">
        <v>41772</v>
      </c>
      <c r="D105" t="s">
        <v>527</v>
      </c>
      <c r="E105" t="s">
        <v>61</v>
      </c>
      <c r="F105" t="s">
        <v>519</v>
      </c>
      <c r="G105" s="73" t="s">
        <v>407</v>
      </c>
    </row>
    <row r="106" spans="1:7" x14ac:dyDescent="0.2">
      <c r="A106" s="110">
        <v>3458</v>
      </c>
      <c r="B106" t="s">
        <v>146</v>
      </c>
      <c r="C106" s="111">
        <v>41792</v>
      </c>
      <c r="D106" t="s">
        <v>527</v>
      </c>
      <c r="E106" t="s">
        <v>52</v>
      </c>
      <c r="F106" t="s">
        <v>519</v>
      </c>
      <c r="G106" s="73" t="s">
        <v>407</v>
      </c>
    </row>
    <row r="107" spans="1:7" x14ac:dyDescent="0.2">
      <c r="A107" s="110">
        <v>3463</v>
      </c>
      <c r="B107" t="s">
        <v>147</v>
      </c>
      <c r="C107" s="111">
        <v>41799</v>
      </c>
      <c r="D107" t="s">
        <v>533</v>
      </c>
      <c r="E107" t="s">
        <v>148</v>
      </c>
      <c r="F107" t="s">
        <v>534</v>
      </c>
      <c r="G107" t="s">
        <v>407</v>
      </c>
    </row>
    <row r="108" spans="1:7" x14ac:dyDescent="0.2">
      <c r="A108" s="110">
        <v>3468</v>
      </c>
      <c r="B108" t="s">
        <v>149</v>
      </c>
      <c r="C108" s="111">
        <v>41813</v>
      </c>
      <c r="D108" t="s">
        <v>537</v>
      </c>
      <c r="E108" t="s">
        <v>125</v>
      </c>
      <c r="F108" t="s">
        <v>519</v>
      </c>
      <c r="G108" s="73" t="s">
        <v>407</v>
      </c>
    </row>
    <row r="109" spans="1:7" x14ac:dyDescent="0.2">
      <c r="A109" s="110">
        <v>3482</v>
      </c>
      <c r="B109" t="s">
        <v>150</v>
      </c>
      <c r="C109" s="111">
        <v>41841</v>
      </c>
      <c r="D109" t="s">
        <v>527</v>
      </c>
      <c r="E109" t="s">
        <v>61</v>
      </c>
      <c r="F109" t="s">
        <v>519</v>
      </c>
      <c r="G109" s="73" t="s">
        <v>407</v>
      </c>
    </row>
    <row r="110" spans="1:7" x14ac:dyDescent="0.2">
      <c r="A110" s="110">
        <v>3486</v>
      </c>
      <c r="B110" t="s">
        <v>151</v>
      </c>
      <c r="C110" s="111">
        <v>41855</v>
      </c>
      <c r="D110" t="s">
        <v>533</v>
      </c>
      <c r="E110" t="s">
        <v>102</v>
      </c>
      <c r="F110" t="s">
        <v>518</v>
      </c>
      <c r="G110" t="s">
        <v>407</v>
      </c>
    </row>
    <row r="111" spans="1:7" x14ac:dyDescent="0.2">
      <c r="A111" s="110">
        <v>3502</v>
      </c>
      <c r="B111" t="s">
        <v>152</v>
      </c>
      <c r="C111" s="111">
        <v>41862</v>
      </c>
      <c r="D111" t="s">
        <v>527</v>
      </c>
      <c r="E111" t="s">
        <v>61</v>
      </c>
      <c r="F111" t="s">
        <v>519</v>
      </c>
      <c r="G111" s="73" t="s">
        <v>407</v>
      </c>
    </row>
    <row r="112" spans="1:7" x14ac:dyDescent="0.2">
      <c r="A112" s="110">
        <v>3522</v>
      </c>
      <c r="B112" t="s">
        <v>153</v>
      </c>
      <c r="C112" s="111">
        <v>41904</v>
      </c>
      <c r="D112" t="s">
        <v>536</v>
      </c>
      <c r="E112" t="s">
        <v>46</v>
      </c>
      <c r="F112" t="s">
        <v>519</v>
      </c>
      <c r="G112" s="73" t="s">
        <v>407</v>
      </c>
    </row>
    <row r="113" spans="1:7" x14ac:dyDescent="0.2">
      <c r="A113" s="110">
        <v>3549</v>
      </c>
      <c r="B113" t="s">
        <v>154</v>
      </c>
      <c r="C113" s="111">
        <v>41939</v>
      </c>
      <c r="D113" t="s">
        <v>537</v>
      </c>
      <c r="E113" t="s">
        <v>106</v>
      </c>
      <c r="F113" t="s">
        <v>534</v>
      </c>
      <c r="G113" s="73" t="s">
        <v>407</v>
      </c>
    </row>
    <row r="114" spans="1:7" x14ac:dyDescent="0.2">
      <c r="A114" s="110">
        <v>3551</v>
      </c>
      <c r="B114" t="s">
        <v>155</v>
      </c>
      <c r="C114" s="111">
        <v>41939</v>
      </c>
      <c r="D114" t="s">
        <v>527</v>
      </c>
      <c r="E114" t="s">
        <v>61</v>
      </c>
      <c r="F114" t="s">
        <v>519</v>
      </c>
      <c r="G114" s="73" t="s">
        <v>407</v>
      </c>
    </row>
    <row r="115" spans="1:7" x14ac:dyDescent="0.2">
      <c r="A115" s="110">
        <v>3565</v>
      </c>
      <c r="B115" t="s">
        <v>156</v>
      </c>
      <c r="C115" s="111">
        <v>41960</v>
      </c>
      <c r="D115" t="s">
        <v>527</v>
      </c>
      <c r="E115" t="s">
        <v>61</v>
      </c>
      <c r="F115" t="s">
        <v>519</v>
      </c>
      <c r="G115" s="73" t="s">
        <v>407</v>
      </c>
    </row>
    <row r="116" spans="1:7" x14ac:dyDescent="0.2">
      <c r="A116" s="110">
        <v>3566</v>
      </c>
      <c r="B116" t="s">
        <v>157</v>
      </c>
      <c r="C116" s="111">
        <v>41960</v>
      </c>
      <c r="D116" t="s">
        <v>535</v>
      </c>
      <c r="E116" t="s">
        <v>158</v>
      </c>
      <c r="F116" t="s">
        <v>519</v>
      </c>
      <c r="G116" s="73" t="s">
        <v>407</v>
      </c>
    </row>
    <row r="117" spans="1:7" x14ac:dyDescent="0.2">
      <c r="A117" s="110">
        <v>3567</v>
      </c>
      <c r="B117" t="s">
        <v>159</v>
      </c>
      <c r="C117" s="111">
        <v>41960</v>
      </c>
      <c r="D117" t="s">
        <v>537</v>
      </c>
      <c r="E117" t="s">
        <v>125</v>
      </c>
      <c r="F117" t="s">
        <v>519</v>
      </c>
      <c r="G117" s="73" t="s">
        <v>407</v>
      </c>
    </row>
    <row r="118" spans="1:7" x14ac:dyDescent="0.2">
      <c r="A118" s="110">
        <v>3572</v>
      </c>
      <c r="B118" t="s">
        <v>160</v>
      </c>
      <c r="C118" s="111">
        <v>41975</v>
      </c>
      <c r="D118" t="s">
        <v>535</v>
      </c>
      <c r="E118" t="s">
        <v>104</v>
      </c>
      <c r="F118" t="s">
        <v>519</v>
      </c>
      <c r="G118" s="73" t="s">
        <v>407</v>
      </c>
    </row>
    <row r="119" spans="1:7" x14ac:dyDescent="0.2">
      <c r="A119" s="110">
        <v>3576</v>
      </c>
      <c r="B119" t="s">
        <v>161</v>
      </c>
      <c r="C119" s="111">
        <v>41981</v>
      </c>
      <c r="D119" t="s">
        <v>535</v>
      </c>
      <c r="E119" t="s">
        <v>104</v>
      </c>
      <c r="F119" t="s">
        <v>519</v>
      </c>
      <c r="G119" s="73" t="s">
        <v>407</v>
      </c>
    </row>
    <row r="120" spans="1:7" x14ac:dyDescent="0.2">
      <c r="A120" s="110">
        <v>3582</v>
      </c>
      <c r="B120" t="s">
        <v>162</v>
      </c>
      <c r="C120" s="111">
        <v>41995</v>
      </c>
      <c r="D120" t="s">
        <v>533</v>
      </c>
      <c r="E120" t="s">
        <v>163</v>
      </c>
      <c r="F120" t="s">
        <v>517</v>
      </c>
      <c r="G120" t="s">
        <v>409</v>
      </c>
    </row>
    <row r="121" spans="1:7" x14ac:dyDescent="0.2">
      <c r="A121" s="110">
        <v>3597</v>
      </c>
      <c r="B121" t="s">
        <v>164</v>
      </c>
      <c r="C121" s="111">
        <v>42023</v>
      </c>
      <c r="D121" t="s">
        <v>536</v>
      </c>
      <c r="E121" t="s">
        <v>46</v>
      </c>
      <c r="F121" t="s">
        <v>519</v>
      </c>
      <c r="G121" s="73" t="s">
        <v>407</v>
      </c>
    </row>
    <row r="122" spans="1:7" x14ac:dyDescent="0.2">
      <c r="A122" s="110">
        <v>3598</v>
      </c>
      <c r="B122" t="s">
        <v>165</v>
      </c>
      <c r="C122" s="111">
        <v>42023</v>
      </c>
      <c r="D122" t="s">
        <v>536</v>
      </c>
      <c r="E122" t="s">
        <v>46</v>
      </c>
      <c r="F122" t="s">
        <v>519</v>
      </c>
      <c r="G122" s="73" t="s">
        <v>407</v>
      </c>
    </row>
    <row r="123" spans="1:7" x14ac:dyDescent="0.2">
      <c r="A123" s="110">
        <v>3614</v>
      </c>
      <c r="B123" t="s">
        <v>166</v>
      </c>
      <c r="C123" s="111">
        <v>42065</v>
      </c>
      <c r="D123" t="s">
        <v>536</v>
      </c>
      <c r="E123" t="s">
        <v>26</v>
      </c>
      <c r="F123" t="s">
        <v>534</v>
      </c>
      <c r="G123" s="73" t="s">
        <v>407</v>
      </c>
    </row>
    <row r="124" spans="1:7" x14ac:dyDescent="0.2">
      <c r="A124" s="110">
        <v>3616</v>
      </c>
      <c r="B124" t="s">
        <v>167</v>
      </c>
      <c r="C124" s="111">
        <v>42065</v>
      </c>
      <c r="D124" t="s">
        <v>527</v>
      </c>
      <c r="E124" t="s">
        <v>109</v>
      </c>
      <c r="F124" t="s">
        <v>519</v>
      </c>
      <c r="G124" s="73" t="s">
        <v>407</v>
      </c>
    </row>
    <row r="125" spans="1:7" x14ac:dyDescent="0.2">
      <c r="A125" s="110">
        <v>3620</v>
      </c>
      <c r="B125" t="s">
        <v>168</v>
      </c>
      <c r="C125" s="111">
        <v>42072</v>
      </c>
      <c r="D125" t="s">
        <v>536</v>
      </c>
      <c r="E125" t="s">
        <v>46</v>
      </c>
      <c r="F125" t="s">
        <v>519</v>
      </c>
      <c r="G125" s="73" t="s">
        <v>407</v>
      </c>
    </row>
    <row r="126" spans="1:7" x14ac:dyDescent="0.2">
      <c r="A126" s="110">
        <v>3649</v>
      </c>
      <c r="B126" t="s">
        <v>169</v>
      </c>
      <c r="C126" s="111">
        <v>42114</v>
      </c>
      <c r="D126" t="s">
        <v>533</v>
      </c>
      <c r="E126" t="s">
        <v>170</v>
      </c>
      <c r="F126" t="s">
        <v>517</v>
      </c>
      <c r="G126" t="s">
        <v>407</v>
      </c>
    </row>
    <row r="127" spans="1:7" x14ac:dyDescent="0.2">
      <c r="A127" s="110">
        <v>3650</v>
      </c>
      <c r="B127" t="s">
        <v>171</v>
      </c>
      <c r="C127" s="111">
        <v>42114</v>
      </c>
      <c r="D127" t="s">
        <v>537</v>
      </c>
      <c r="E127" t="s">
        <v>125</v>
      </c>
      <c r="F127" t="s">
        <v>519</v>
      </c>
      <c r="G127" s="73" t="s">
        <v>409</v>
      </c>
    </row>
    <row r="128" spans="1:7" x14ac:dyDescent="0.2">
      <c r="A128" s="110">
        <v>3655</v>
      </c>
      <c r="B128" t="s">
        <v>172</v>
      </c>
      <c r="C128" s="111">
        <v>42135</v>
      </c>
      <c r="D128" t="s">
        <v>536</v>
      </c>
      <c r="E128" t="s">
        <v>46</v>
      </c>
      <c r="F128" t="s">
        <v>519</v>
      </c>
      <c r="G128" s="73" t="s">
        <v>407</v>
      </c>
    </row>
    <row r="129" spans="1:7" x14ac:dyDescent="0.2">
      <c r="A129" s="110">
        <v>3656</v>
      </c>
      <c r="B129" t="s">
        <v>173</v>
      </c>
      <c r="C129" s="111">
        <v>42135</v>
      </c>
      <c r="D129" t="s">
        <v>537</v>
      </c>
      <c r="E129" t="s">
        <v>106</v>
      </c>
      <c r="F129" t="s">
        <v>534</v>
      </c>
      <c r="G129" s="73" t="s">
        <v>407</v>
      </c>
    </row>
    <row r="130" spans="1:7" x14ac:dyDescent="0.2">
      <c r="A130" s="110">
        <v>3662</v>
      </c>
      <c r="B130" t="s">
        <v>174</v>
      </c>
      <c r="C130" s="111">
        <v>42158</v>
      </c>
      <c r="D130" t="s">
        <v>531</v>
      </c>
      <c r="E130" t="s">
        <v>24</v>
      </c>
      <c r="F130" t="s">
        <v>518</v>
      </c>
      <c r="G130" t="s">
        <v>411</v>
      </c>
    </row>
    <row r="131" spans="1:7" x14ac:dyDescent="0.2">
      <c r="A131" s="110">
        <v>3664</v>
      </c>
      <c r="B131" t="s">
        <v>175</v>
      </c>
      <c r="C131" s="111">
        <v>42163</v>
      </c>
      <c r="D131" t="s">
        <v>531</v>
      </c>
      <c r="E131" t="s">
        <v>24</v>
      </c>
      <c r="F131" t="s">
        <v>518</v>
      </c>
      <c r="G131" t="s">
        <v>411</v>
      </c>
    </row>
    <row r="132" spans="1:7" x14ac:dyDescent="0.2">
      <c r="A132" s="110">
        <v>3694</v>
      </c>
      <c r="B132" t="s">
        <v>176</v>
      </c>
      <c r="C132" s="111">
        <v>42240</v>
      </c>
      <c r="D132" t="s">
        <v>537</v>
      </c>
      <c r="E132" t="s">
        <v>125</v>
      </c>
      <c r="F132" t="s">
        <v>519</v>
      </c>
      <c r="G132" s="73" t="s">
        <v>407</v>
      </c>
    </row>
    <row r="133" spans="1:7" x14ac:dyDescent="0.2">
      <c r="A133" s="110">
        <v>3710</v>
      </c>
      <c r="B133" t="s">
        <v>177</v>
      </c>
      <c r="C133" s="111">
        <v>42275</v>
      </c>
      <c r="D133" t="s">
        <v>536</v>
      </c>
      <c r="E133" t="s">
        <v>46</v>
      </c>
      <c r="F133" t="s">
        <v>519</v>
      </c>
      <c r="G133" s="73" t="s">
        <v>409</v>
      </c>
    </row>
    <row r="134" spans="1:7" x14ac:dyDescent="0.2">
      <c r="A134" s="110">
        <v>3746</v>
      </c>
      <c r="B134" t="s">
        <v>178</v>
      </c>
      <c r="C134" s="111">
        <v>42367</v>
      </c>
      <c r="D134" t="s">
        <v>538</v>
      </c>
      <c r="E134" t="s">
        <v>143</v>
      </c>
      <c r="F134" t="s">
        <v>519</v>
      </c>
      <c r="G134" s="73" t="s">
        <v>407</v>
      </c>
    </row>
    <row r="135" spans="1:7" x14ac:dyDescent="0.2">
      <c r="A135" s="110">
        <v>3760</v>
      </c>
      <c r="B135" t="s">
        <v>179</v>
      </c>
      <c r="C135" s="111">
        <v>42388</v>
      </c>
      <c r="D135" t="s">
        <v>537</v>
      </c>
      <c r="E135" t="s">
        <v>125</v>
      </c>
      <c r="F135" t="s">
        <v>519</v>
      </c>
      <c r="G135" s="73" t="s">
        <v>407</v>
      </c>
    </row>
    <row r="136" spans="1:7" x14ac:dyDescent="0.2">
      <c r="A136" s="110">
        <v>3770</v>
      </c>
      <c r="B136" t="s">
        <v>180</v>
      </c>
      <c r="C136" s="111">
        <v>42423</v>
      </c>
      <c r="D136" t="s">
        <v>527</v>
      </c>
      <c r="E136" t="s">
        <v>54</v>
      </c>
      <c r="F136" t="s">
        <v>519</v>
      </c>
      <c r="G136" s="73" t="s">
        <v>409</v>
      </c>
    </row>
    <row r="137" spans="1:7" x14ac:dyDescent="0.2">
      <c r="A137" s="110">
        <v>3796</v>
      </c>
      <c r="B137" t="s">
        <v>181</v>
      </c>
      <c r="C137" s="111">
        <v>42464</v>
      </c>
      <c r="D137" t="s">
        <v>536</v>
      </c>
      <c r="E137" t="s">
        <v>26</v>
      </c>
      <c r="F137" t="s">
        <v>534</v>
      </c>
      <c r="G137" s="73" t="s">
        <v>407</v>
      </c>
    </row>
    <row r="138" spans="1:7" x14ac:dyDescent="0.2">
      <c r="A138" s="110">
        <v>3800</v>
      </c>
      <c r="B138" t="s">
        <v>182</v>
      </c>
      <c r="C138" s="111">
        <v>42478</v>
      </c>
      <c r="D138" t="s">
        <v>527</v>
      </c>
      <c r="E138" t="s">
        <v>10</v>
      </c>
      <c r="F138" t="s">
        <v>519</v>
      </c>
      <c r="G138" s="73" t="s">
        <v>407</v>
      </c>
    </row>
    <row r="139" spans="1:7" x14ac:dyDescent="0.2">
      <c r="A139" s="110">
        <v>3801</v>
      </c>
      <c r="B139" t="s">
        <v>183</v>
      </c>
      <c r="C139" s="111">
        <v>42478</v>
      </c>
      <c r="D139" t="s">
        <v>527</v>
      </c>
      <c r="E139" t="s">
        <v>10</v>
      </c>
      <c r="F139" t="s">
        <v>519</v>
      </c>
      <c r="G139" s="73" t="s">
        <v>407</v>
      </c>
    </row>
    <row r="140" spans="1:7" x14ac:dyDescent="0.2">
      <c r="A140" s="110">
        <v>3802</v>
      </c>
      <c r="B140" t="s">
        <v>184</v>
      </c>
      <c r="C140" s="111">
        <v>42478</v>
      </c>
      <c r="D140" t="s">
        <v>527</v>
      </c>
      <c r="E140" t="s">
        <v>54</v>
      </c>
      <c r="F140" t="s">
        <v>519</v>
      </c>
      <c r="G140" s="73" t="s">
        <v>407</v>
      </c>
    </row>
    <row r="141" spans="1:7" x14ac:dyDescent="0.2">
      <c r="A141" s="110">
        <v>3805</v>
      </c>
      <c r="B141" t="s">
        <v>185</v>
      </c>
      <c r="C141" s="111">
        <v>42496</v>
      </c>
      <c r="D141" t="s">
        <v>527</v>
      </c>
      <c r="E141" t="s">
        <v>99</v>
      </c>
      <c r="F141" t="s">
        <v>534</v>
      </c>
      <c r="G141" s="73" t="s">
        <v>407</v>
      </c>
    </row>
    <row r="142" spans="1:7" x14ac:dyDescent="0.2">
      <c r="A142" s="110">
        <v>3807</v>
      </c>
      <c r="B142" t="s">
        <v>186</v>
      </c>
      <c r="C142" s="111">
        <v>42506</v>
      </c>
      <c r="D142" t="s">
        <v>531</v>
      </c>
      <c r="E142" t="s">
        <v>24</v>
      </c>
      <c r="F142" t="s">
        <v>518</v>
      </c>
      <c r="G142" t="s">
        <v>409</v>
      </c>
    </row>
    <row r="143" spans="1:7" x14ac:dyDescent="0.2">
      <c r="A143" s="110">
        <v>3808</v>
      </c>
      <c r="B143" t="s">
        <v>187</v>
      </c>
      <c r="C143" s="111">
        <v>42506</v>
      </c>
      <c r="D143" t="s">
        <v>535</v>
      </c>
      <c r="E143" t="s">
        <v>104</v>
      </c>
      <c r="F143" t="s">
        <v>519</v>
      </c>
      <c r="G143" s="73" t="s">
        <v>407</v>
      </c>
    </row>
    <row r="144" spans="1:7" x14ac:dyDescent="0.2">
      <c r="A144" s="110">
        <v>3825</v>
      </c>
      <c r="B144" t="s">
        <v>188</v>
      </c>
      <c r="C144" s="111">
        <v>42541</v>
      </c>
      <c r="D144" t="s">
        <v>527</v>
      </c>
      <c r="E144" t="s">
        <v>61</v>
      </c>
      <c r="F144" t="s">
        <v>519</v>
      </c>
      <c r="G144" s="73" t="s">
        <v>409</v>
      </c>
    </row>
    <row r="145" spans="1:7" x14ac:dyDescent="0.2">
      <c r="A145" s="110">
        <v>3826</v>
      </c>
      <c r="B145" t="s">
        <v>189</v>
      </c>
      <c r="C145" s="111">
        <v>42548</v>
      </c>
      <c r="D145" t="s">
        <v>539</v>
      </c>
      <c r="E145" t="s">
        <v>190</v>
      </c>
      <c r="F145" t="s">
        <v>519</v>
      </c>
      <c r="G145" t="s">
        <v>411</v>
      </c>
    </row>
    <row r="146" spans="1:7" x14ac:dyDescent="0.2">
      <c r="A146" s="110">
        <v>3830</v>
      </c>
      <c r="B146" t="s">
        <v>191</v>
      </c>
      <c r="C146" s="111">
        <v>42562</v>
      </c>
      <c r="D146" t="s">
        <v>527</v>
      </c>
      <c r="E146" t="s">
        <v>61</v>
      </c>
      <c r="F146" t="s">
        <v>519</v>
      </c>
      <c r="G146" s="73" t="s">
        <v>409</v>
      </c>
    </row>
    <row r="147" spans="1:7" x14ac:dyDescent="0.2">
      <c r="A147" s="110">
        <v>3844</v>
      </c>
      <c r="B147" t="s">
        <v>192</v>
      </c>
      <c r="C147" s="111">
        <v>42585</v>
      </c>
      <c r="D147" t="s">
        <v>531</v>
      </c>
      <c r="E147" t="s">
        <v>24</v>
      </c>
      <c r="F147" t="s">
        <v>518</v>
      </c>
      <c r="G147" t="s">
        <v>409</v>
      </c>
    </row>
    <row r="148" spans="1:7" x14ac:dyDescent="0.2">
      <c r="A148" s="110">
        <v>3847</v>
      </c>
      <c r="B148" t="s">
        <v>193</v>
      </c>
      <c r="C148" s="111">
        <v>42597</v>
      </c>
      <c r="D148" t="s">
        <v>536</v>
      </c>
      <c r="E148" t="s">
        <v>46</v>
      </c>
      <c r="F148" t="s">
        <v>519</v>
      </c>
      <c r="G148" s="73" t="s">
        <v>409</v>
      </c>
    </row>
    <row r="149" spans="1:7" x14ac:dyDescent="0.2">
      <c r="A149" s="110">
        <v>3848</v>
      </c>
      <c r="B149" t="s">
        <v>194</v>
      </c>
      <c r="C149" s="111">
        <v>42604</v>
      </c>
      <c r="D149" t="s">
        <v>537</v>
      </c>
      <c r="E149" t="s">
        <v>125</v>
      </c>
      <c r="F149" t="s">
        <v>519</v>
      </c>
      <c r="G149" s="73" t="s">
        <v>407</v>
      </c>
    </row>
    <row r="150" spans="1:7" x14ac:dyDescent="0.2">
      <c r="A150" s="110">
        <v>3850</v>
      </c>
      <c r="B150" t="s">
        <v>195</v>
      </c>
      <c r="C150" s="111">
        <v>42611</v>
      </c>
      <c r="D150" t="s">
        <v>537</v>
      </c>
      <c r="E150" t="s">
        <v>125</v>
      </c>
      <c r="F150" t="s">
        <v>519</v>
      </c>
      <c r="G150" s="73" t="s">
        <v>407</v>
      </c>
    </row>
    <row r="151" spans="1:7" x14ac:dyDescent="0.2">
      <c r="A151" s="110">
        <v>3864</v>
      </c>
      <c r="B151" t="s">
        <v>196</v>
      </c>
      <c r="C151" s="111">
        <v>42633</v>
      </c>
      <c r="D151" t="s">
        <v>527</v>
      </c>
      <c r="E151" t="s">
        <v>61</v>
      </c>
      <c r="F151" t="s">
        <v>519</v>
      </c>
      <c r="G151" s="73" t="s">
        <v>407</v>
      </c>
    </row>
    <row r="152" spans="1:7" x14ac:dyDescent="0.2">
      <c r="A152" s="110">
        <v>3868</v>
      </c>
      <c r="B152" t="s">
        <v>197</v>
      </c>
      <c r="C152" s="111">
        <v>42639</v>
      </c>
      <c r="D152" t="s">
        <v>527</v>
      </c>
      <c r="E152" t="s">
        <v>198</v>
      </c>
      <c r="F152" t="s">
        <v>517</v>
      </c>
      <c r="G152" s="73" t="s">
        <v>407</v>
      </c>
    </row>
    <row r="153" spans="1:7" x14ac:dyDescent="0.2">
      <c r="A153" s="110">
        <v>3875</v>
      </c>
      <c r="B153" t="s">
        <v>199</v>
      </c>
      <c r="C153" s="111">
        <v>42646</v>
      </c>
      <c r="D153" t="s">
        <v>527</v>
      </c>
      <c r="E153" t="s">
        <v>61</v>
      </c>
      <c r="F153" t="s">
        <v>519</v>
      </c>
      <c r="G153" s="73" t="s">
        <v>407</v>
      </c>
    </row>
    <row r="154" spans="1:7" x14ac:dyDescent="0.2">
      <c r="A154" s="110">
        <v>3878</v>
      </c>
      <c r="B154" t="s">
        <v>200</v>
      </c>
      <c r="C154" s="111">
        <v>42653</v>
      </c>
      <c r="D154" t="s">
        <v>536</v>
      </c>
      <c r="E154" t="s">
        <v>46</v>
      </c>
      <c r="F154" t="s">
        <v>519</v>
      </c>
      <c r="G154" s="73" t="s">
        <v>407</v>
      </c>
    </row>
    <row r="155" spans="1:7" x14ac:dyDescent="0.2">
      <c r="A155" s="110">
        <v>3886</v>
      </c>
      <c r="B155" t="s">
        <v>201</v>
      </c>
      <c r="C155" s="111">
        <v>42667</v>
      </c>
      <c r="D155" t="s">
        <v>527</v>
      </c>
      <c r="E155" t="s">
        <v>54</v>
      </c>
      <c r="F155" t="s">
        <v>519</v>
      </c>
      <c r="G155" s="73" t="s">
        <v>409</v>
      </c>
    </row>
    <row r="156" spans="1:7" x14ac:dyDescent="0.2">
      <c r="A156" s="110">
        <v>3911</v>
      </c>
      <c r="B156" t="s">
        <v>202</v>
      </c>
      <c r="C156" s="111">
        <v>42702</v>
      </c>
      <c r="D156" t="s">
        <v>535</v>
      </c>
      <c r="E156" t="s">
        <v>69</v>
      </c>
      <c r="F156" t="s">
        <v>534</v>
      </c>
      <c r="G156" s="73" t="s">
        <v>407</v>
      </c>
    </row>
    <row r="157" spans="1:7" x14ac:dyDescent="0.2">
      <c r="A157" s="110">
        <v>3913</v>
      </c>
      <c r="B157" t="s">
        <v>203</v>
      </c>
      <c r="C157" s="111">
        <v>42709</v>
      </c>
      <c r="D157" t="s">
        <v>527</v>
      </c>
      <c r="E157" t="s">
        <v>54</v>
      </c>
      <c r="F157" t="s">
        <v>519</v>
      </c>
      <c r="G157" s="73" t="s">
        <v>407</v>
      </c>
    </row>
    <row r="158" spans="1:7" x14ac:dyDescent="0.2">
      <c r="A158" s="110">
        <v>3927</v>
      </c>
      <c r="B158" t="s">
        <v>204</v>
      </c>
      <c r="C158" s="111">
        <v>42730</v>
      </c>
      <c r="D158" t="s">
        <v>527</v>
      </c>
      <c r="E158" t="s">
        <v>54</v>
      </c>
      <c r="F158" t="s">
        <v>519</v>
      </c>
      <c r="G158" s="73" t="s">
        <v>407</v>
      </c>
    </row>
    <row r="159" spans="1:7" x14ac:dyDescent="0.2">
      <c r="A159" s="110">
        <v>3930</v>
      </c>
      <c r="B159" t="s">
        <v>205</v>
      </c>
      <c r="C159" s="111">
        <v>42737</v>
      </c>
      <c r="D159" t="s">
        <v>538</v>
      </c>
      <c r="E159" t="s">
        <v>44</v>
      </c>
      <c r="F159" t="s">
        <v>519</v>
      </c>
      <c r="G159" s="73" t="s">
        <v>407</v>
      </c>
    </row>
    <row r="160" spans="1:7" x14ac:dyDescent="0.2">
      <c r="A160" s="110">
        <v>3936</v>
      </c>
      <c r="B160" t="s">
        <v>206</v>
      </c>
      <c r="C160" s="111">
        <v>42751</v>
      </c>
      <c r="D160" t="s">
        <v>527</v>
      </c>
      <c r="E160" t="s">
        <v>86</v>
      </c>
      <c r="F160" t="s">
        <v>519</v>
      </c>
      <c r="G160" s="73" t="s">
        <v>409</v>
      </c>
    </row>
    <row r="161" spans="1:7" x14ac:dyDescent="0.2">
      <c r="A161" s="110">
        <v>3939</v>
      </c>
      <c r="B161" t="s">
        <v>207</v>
      </c>
      <c r="C161" s="111">
        <v>42758</v>
      </c>
      <c r="D161" t="s">
        <v>527</v>
      </c>
      <c r="E161" t="s">
        <v>86</v>
      </c>
      <c r="F161" t="s">
        <v>519</v>
      </c>
      <c r="G161" s="73" t="s">
        <v>409</v>
      </c>
    </row>
    <row r="162" spans="1:7" x14ac:dyDescent="0.2">
      <c r="A162" s="110">
        <v>3941</v>
      </c>
      <c r="B162" t="s">
        <v>208</v>
      </c>
      <c r="C162" s="111">
        <v>42758</v>
      </c>
      <c r="D162" t="s">
        <v>527</v>
      </c>
      <c r="E162" t="s">
        <v>54</v>
      </c>
      <c r="F162" t="s">
        <v>519</v>
      </c>
      <c r="G162" s="73" t="s">
        <v>407</v>
      </c>
    </row>
    <row r="163" spans="1:7" x14ac:dyDescent="0.2">
      <c r="A163" s="110">
        <v>3958</v>
      </c>
      <c r="B163" t="s">
        <v>209</v>
      </c>
      <c r="C163" s="111">
        <v>42779</v>
      </c>
      <c r="D163" t="s">
        <v>527</v>
      </c>
      <c r="E163" t="s">
        <v>86</v>
      </c>
      <c r="F163" t="s">
        <v>519</v>
      </c>
      <c r="G163" s="73" t="s">
        <v>407</v>
      </c>
    </row>
    <row r="164" spans="1:7" x14ac:dyDescent="0.2">
      <c r="A164" s="110">
        <v>3983</v>
      </c>
      <c r="B164" t="s">
        <v>210</v>
      </c>
      <c r="C164" s="111">
        <v>42800</v>
      </c>
      <c r="D164" t="s">
        <v>527</v>
      </c>
      <c r="E164" t="s">
        <v>54</v>
      </c>
      <c r="F164" t="s">
        <v>519</v>
      </c>
      <c r="G164" s="73" t="s">
        <v>407</v>
      </c>
    </row>
    <row r="165" spans="1:7" x14ac:dyDescent="0.2">
      <c r="A165" s="110">
        <v>3995</v>
      </c>
      <c r="B165" t="s">
        <v>211</v>
      </c>
      <c r="C165" s="111">
        <v>42836</v>
      </c>
      <c r="D165" t="s">
        <v>527</v>
      </c>
      <c r="E165" t="s">
        <v>86</v>
      </c>
      <c r="F165" t="s">
        <v>519</v>
      </c>
      <c r="G165" s="73" t="s">
        <v>407</v>
      </c>
    </row>
    <row r="166" spans="1:7" x14ac:dyDescent="0.2">
      <c r="A166" s="110">
        <v>4000</v>
      </c>
      <c r="B166" t="s">
        <v>212</v>
      </c>
      <c r="C166" s="111">
        <v>42842</v>
      </c>
      <c r="D166" t="s">
        <v>527</v>
      </c>
      <c r="E166" t="s">
        <v>10</v>
      </c>
      <c r="F166" t="s">
        <v>519</v>
      </c>
      <c r="G166" s="73" t="s">
        <v>407</v>
      </c>
    </row>
    <row r="167" spans="1:7" x14ac:dyDescent="0.2">
      <c r="A167" s="110">
        <v>4001</v>
      </c>
      <c r="B167" t="s">
        <v>213</v>
      </c>
      <c r="C167" s="111">
        <v>42842</v>
      </c>
      <c r="D167" t="s">
        <v>527</v>
      </c>
      <c r="E167" t="s">
        <v>86</v>
      </c>
      <c r="F167" t="s">
        <v>519</v>
      </c>
      <c r="G167" s="73" t="s">
        <v>409</v>
      </c>
    </row>
    <row r="168" spans="1:7" x14ac:dyDescent="0.2">
      <c r="A168" s="110">
        <v>4002</v>
      </c>
      <c r="B168" t="s">
        <v>214</v>
      </c>
      <c r="C168" s="111">
        <v>42842</v>
      </c>
      <c r="D168" t="s">
        <v>527</v>
      </c>
      <c r="E168" t="s">
        <v>10</v>
      </c>
      <c r="F168" t="s">
        <v>519</v>
      </c>
      <c r="G168" s="73" t="s">
        <v>409</v>
      </c>
    </row>
    <row r="169" spans="1:7" x14ac:dyDescent="0.2">
      <c r="A169" s="110">
        <v>4007</v>
      </c>
      <c r="B169" t="s">
        <v>215</v>
      </c>
      <c r="C169" s="111">
        <v>42850</v>
      </c>
      <c r="D169" t="s">
        <v>536</v>
      </c>
      <c r="E169" t="s">
        <v>46</v>
      </c>
      <c r="F169" t="s">
        <v>519</v>
      </c>
      <c r="G169" s="73" t="s">
        <v>407</v>
      </c>
    </row>
    <row r="170" spans="1:7" x14ac:dyDescent="0.2">
      <c r="A170" s="110">
        <v>4018</v>
      </c>
      <c r="B170" t="s">
        <v>216</v>
      </c>
      <c r="C170" s="111">
        <v>42863</v>
      </c>
      <c r="D170" t="s">
        <v>527</v>
      </c>
      <c r="E170" t="s">
        <v>54</v>
      </c>
      <c r="F170" t="s">
        <v>519</v>
      </c>
      <c r="G170" s="73" t="s">
        <v>409</v>
      </c>
    </row>
    <row r="171" spans="1:7" x14ac:dyDescent="0.2">
      <c r="A171" s="110">
        <v>4019</v>
      </c>
      <c r="B171" t="s">
        <v>217</v>
      </c>
      <c r="C171" s="111">
        <v>42863</v>
      </c>
      <c r="D171" t="s">
        <v>533</v>
      </c>
      <c r="E171" t="s">
        <v>95</v>
      </c>
      <c r="F171" t="s">
        <v>518</v>
      </c>
      <c r="G171" t="s">
        <v>409</v>
      </c>
    </row>
    <row r="172" spans="1:7" x14ac:dyDescent="0.2">
      <c r="A172" s="110">
        <v>4020</v>
      </c>
      <c r="B172" t="s">
        <v>218</v>
      </c>
      <c r="C172" s="111">
        <v>42863</v>
      </c>
      <c r="D172" t="s">
        <v>535</v>
      </c>
      <c r="E172" t="s">
        <v>219</v>
      </c>
      <c r="F172" t="s">
        <v>519</v>
      </c>
      <c r="G172" s="73" t="s">
        <v>407</v>
      </c>
    </row>
    <row r="173" spans="1:7" x14ac:dyDescent="0.2">
      <c r="A173" s="110">
        <v>4021</v>
      </c>
      <c r="B173" t="s">
        <v>220</v>
      </c>
      <c r="C173" s="111">
        <v>42870</v>
      </c>
      <c r="D173" t="s">
        <v>527</v>
      </c>
      <c r="E173" t="s">
        <v>10</v>
      </c>
      <c r="F173" t="s">
        <v>519</v>
      </c>
      <c r="G173" s="73" t="s">
        <v>409</v>
      </c>
    </row>
    <row r="174" spans="1:7" x14ac:dyDescent="0.2">
      <c r="A174" s="110">
        <v>4023</v>
      </c>
      <c r="B174" t="s">
        <v>221</v>
      </c>
      <c r="C174" s="111">
        <v>42870</v>
      </c>
      <c r="D174" t="s">
        <v>536</v>
      </c>
      <c r="E174" t="s">
        <v>46</v>
      </c>
      <c r="F174" t="s">
        <v>519</v>
      </c>
      <c r="G174" s="73" t="s">
        <v>407</v>
      </c>
    </row>
    <row r="175" spans="1:7" x14ac:dyDescent="0.2">
      <c r="A175" s="110">
        <v>4036</v>
      </c>
      <c r="B175" t="s">
        <v>222</v>
      </c>
      <c r="C175" s="111">
        <v>42884</v>
      </c>
      <c r="D175" t="s">
        <v>536</v>
      </c>
      <c r="E175" t="s">
        <v>46</v>
      </c>
      <c r="F175" t="s">
        <v>519</v>
      </c>
      <c r="G175" s="73" t="s">
        <v>409</v>
      </c>
    </row>
    <row r="176" spans="1:7" x14ac:dyDescent="0.2">
      <c r="A176" s="110">
        <v>4037</v>
      </c>
      <c r="B176" t="s">
        <v>223</v>
      </c>
      <c r="C176" s="111">
        <v>42884</v>
      </c>
      <c r="D176" t="s">
        <v>527</v>
      </c>
      <c r="E176" t="s">
        <v>86</v>
      </c>
      <c r="F176" t="s">
        <v>519</v>
      </c>
      <c r="G176" s="73" t="s">
        <v>407</v>
      </c>
    </row>
    <row r="177" spans="1:7" x14ac:dyDescent="0.2">
      <c r="A177" s="110">
        <v>4043</v>
      </c>
      <c r="B177" t="s">
        <v>224</v>
      </c>
      <c r="C177" s="111">
        <v>42891</v>
      </c>
      <c r="D177" t="s">
        <v>535</v>
      </c>
      <c r="E177" t="s">
        <v>104</v>
      </c>
      <c r="F177" t="s">
        <v>519</v>
      </c>
      <c r="G177" s="73" t="s">
        <v>409</v>
      </c>
    </row>
    <row r="178" spans="1:7" x14ac:dyDescent="0.2">
      <c r="A178" s="110">
        <v>4056</v>
      </c>
      <c r="B178" t="s">
        <v>225</v>
      </c>
      <c r="C178" s="111">
        <v>42914</v>
      </c>
      <c r="D178" t="s">
        <v>527</v>
      </c>
      <c r="E178" t="s">
        <v>86</v>
      </c>
      <c r="F178" t="s">
        <v>519</v>
      </c>
      <c r="G178" s="73" t="s">
        <v>407</v>
      </c>
    </row>
    <row r="179" spans="1:7" x14ac:dyDescent="0.2">
      <c r="A179" s="110">
        <v>4059</v>
      </c>
      <c r="B179" t="s">
        <v>226</v>
      </c>
      <c r="C179" s="111">
        <v>42926</v>
      </c>
      <c r="D179" t="s">
        <v>535</v>
      </c>
      <c r="E179" t="s">
        <v>69</v>
      </c>
      <c r="F179" t="s">
        <v>534</v>
      </c>
      <c r="G179" s="73" t="s">
        <v>407</v>
      </c>
    </row>
    <row r="180" spans="1:7" x14ac:dyDescent="0.2">
      <c r="A180" s="110">
        <v>4076</v>
      </c>
      <c r="B180" t="s">
        <v>227</v>
      </c>
      <c r="C180" s="111">
        <v>42948</v>
      </c>
      <c r="D180" t="s">
        <v>527</v>
      </c>
      <c r="E180" t="s">
        <v>86</v>
      </c>
      <c r="F180" t="s">
        <v>519</v>
      </c>
      <c r="G180" s="73" t="s">
        <v>407</v>
      </c>
    </row>
    <row r="181" spans="1:7" x14ac:dyDescent="0.2">
      <c r="A181" s="110">
        <v>4078</v>
      </c>
      <c r="B181" t="s">
        <v>228</v>
      </c>
      <c r="C181" s="111">
        <v>42954</v>
      </c>
      <c r="D181" t="s">
        <v>535</v>
      </c>
      <c r="E181" t="s">
        <v>158</v>
      </c>
      <c r="F181" t="s">
        <v>519</v>
      </c>
      <c r="G181" s="73" t="s">
        <v>407</v>
      </c>
    </row>
    <row r="182" spans="1:7" x14ac:dyDescent="0.2">
      <c r="A182" s="110">
        <v>4082</v>
      </c>
      <c r="B182" t="s">
        <v>229</v>
      </c>
      <c r="C182" s="111">
        <v>42961</v>
      </c>
      <c r="D182" t="s">
        <v>527</v>
      </c>
      <c r="E182" t="s">
        <v>86</v>
      </c>
      <c r="F182" t="s">
        <v>519</v>
      </c>
      <c r="G182" s="73" t="s">
        <v>407</v>
      </c>
    </row>
    <row r="183" spans="1:7" x14ac:dyDescent="0.2">
      <c r="A183" s="110">
        <v>4092</v>
      </c>
      <c r="B183" t="s">
        <v>230</v>
      </c>
      <c r="C183" s="111">
        <v>42984</v>
      </c>
      <c r="D183" t="s">
        <v>527</v>
      </c>
      <c r="E183" t="s">
        <v>86</v>
      </c>
      <c r="F183" t="s">
        <v>519</v>
      </c>
      <c r="G183" s="73" t="s">
        <v>409</v>
      </c>
    </row>
    <row r="184" spans="1:7" x14ac:dyDescent="0.2">
      <c r="A184" s="110">
        <v>4102</v>
      </c>
      <c r="B184" t="s">
        <v>231</v>
      </c>
      <c r="C184" s="111">
        <v>42996</v>
      </c>
      <c r="D184" t="s">
        <v>531</v>
      </c>
      <c r="E184" t="s">
        <v>24</v>
      </c>
      <c r="F184" t="s">
        <v>518</v>
      </c>
      <c r="G184" t="s">
        <v>409</v>
      </c>
    </row>
    <row r="185" spans="1:7" x14ac:dyDescent="0.2">
      <c r="A185" s="110">
        <v>4111</v>
      </c>
      <c r="B185" t="s">
        <v>232</v>
      </c>
      <c r="C185" s="111">
        <v>43024</v>
      </c>
      <c r="D185" t="s">
        <v>527</v>
      </c>
      <c r="E185" t="s">
        <v>86</v>
      </c>
      <c r="F185" t="s">
        <v>519</v>
      </c>
      <c r="G185" s="73" t="s">
        <v>409</v>
      </c>
    </row>
    <row r="186" spans="1:7" x14ac:dyDescent="0.2">
      <c r="A186" s="110">
        <v>4119</v>
      </c>
      <c r="B186" t="s">
        <v>233</v>
      </c>
      <c r="C186" s="111">
        <v>43031</v>
      </c>
      <c r="D186" t="s">
        <v>532</v>
      </c>
      <c r="E186" t="s">
        <v>7</v>
      </c>
      <c r="F186" t="s">
        <v>519</v>
      </c>
      <c r="G186" s="73" t="s">
        <v>411</v>
      </c>
    </row>
    <row r="187" spans="1:7" x14ac:dyDescent="0.2">
      <c r="A187" s="110">
        <v>4121</v>
      </c>
      <c r="B187" t="s">
        <v>234</v>
      </c>
      <c r="C187" s="111">
        <v>43031</v>
      </c>
      <c r="D187" t="s">
        <v>533</v>
      </c>
      <c r="E187" t="s">
        <v>95</v>
      </c>
      <c r="F187" t="s">
        <v>518</v>
      </c>
      <c r="G187" t="s">
        <v>409</v>
      </c>
    </row>
    <row r="188" spans="1:7" x14ac:dyDescent="0.2">
      <c r="A188" s="110">
        <v>4122</v>
      </c>
      <c r="B188" t="s">
        <v>235</v>
      </c>
      <c r="C188" s="111">
        <v>43031</v>
      </c>
      <c r="D188" t="s">
        <v>527</v>
      </c>
      <c r="E188" t="s">
        <v>86</v>
      </c>
      <c r="F188" t="s">
        <v>519</v>
      </c>
      <c r="G188" s="73" t="s">
        <v>407</v>
      </c>
    </row>
    <row r="189" spans="1:7" x14ac:dyDescent="0.2">
      <c r="A189" s="110">
        <v>4128</v>
      </c>
      <c r="B189" t="s">
        <v>236</v>
      </c>
      <c r="C189" s="111">
        <v>43038</v>
      </c>
      <c r="D189" t="s">
        <v>527</v>
      </c>
      <c r="E189" t="s">
        <v>86</v>
      </c>
      <c r="F189" t="s">
        <v>519</v>
      </c>
      <c r="G189" s="73" t="s">
        <v>407</v>
      </c>
    </row>
    <row r="190" spans="1:7" x14ac:dyDescent="0.2">
      <c r="A190" s="110">
        <v>4139</v>
      </c>
      <c r="B190" t="s">
        <v>237</v>
      </c>
      <c r="C190" s="111">
        <v>43045</v>
      </c>
      <c r="D190" t="s">
        <v>533</v>
      </c>
      <c r="E190" t="s">
        <v>102</v>
      </c>
      <c r="F190" t="s">
        <v>518</v>
      </c>
      <c r="G190" t="s">
        <v>407</v>
      </c>
    </row>
    <row r="191" spans="1:7" x14ac:dyDescent="0.2">
      <c r="A191" s="110">
        <v>4165</v>
      </c>
      <c r="B191" t="s">
        <v>238</v>
      </c>
      <c r="C191" s="111">
        <v>43224</v>
      </c>
      <c r="D191" t="s">
        <v>537</v>
      </c>
      <c r="E191" t="s">
        <v>239</v>
      </c>
      <c r="F191" t="s">
        <v>519</v>
      </c>
      <c r="G191" s="73" t="s">
        <v>409</v>
      </c>
    </row>
    <row r="192" spans="1:7" x14ac:dyDescent="0.2">
      <c r="A192" s="110">
        <v>4183</v>
      </c>
      <c r="B192" t="s">
        <v>240</v>
      </c>
      <c r="C192" s="111">
        <v>43108</v>
      </c>
      <c r="D192" t="s">
        <v>527</v>
      </c>
      <c r="E192" t="s">
        <v>54</v>
      </c>
      <c r="F192" t="s">
        <v>519</v>
      </c>
      <c r="G192" s="73" t="s">
        <v>409</v>
      </c>
    </row>
    <row r="193" spans="1:7" x14ac:dyDescent="0.2">
      <c r="A193" s="110">
        <v>4188</v>
      </c>
      <c r="B193" t="s">
        <v>241</v>
      </c>
      <c r="C193" s="111">
        <v>43115</v>
      </c>
      <c r="D193" t="s">
        <v>527</v>
      </c>
      <c r="E193" t="s">
        <v>10</v>
      </c>
      <c r="F193" t="s">
        <v>519</v>
      </c>
      <c r="G193" s="73" t="s">
        <v>409</v>
      </c>
    </row>
    <row r="194" spans="1:7" x14ac:dyDescent="0.2">
      <c r="A194" s="110">
        <v>4199</v>
      </c>
      <c r="B194" t="s">
        <v>242</v>
      </c>
      <c r="C194" s="111">
        <v>43129</v>
      </c>
      <c r="D194" t="s">
        <v>536</v>
      </c>
      <c r="E194" t="s">
        <v>46</v>
      </c>
      <c r="F194" t="s">
        <v>519</v>
      </c>
      <c r="G194" s="73" t="s">
        <v>409</v>
      </c>
    </row>
    <row r="195" spans="1:7" x14ac:dyDescent="0.2">
      <c r="A195" s="110">
        <v>4212</v>
      </c>
      <c r="B195" t="s">
        <v>243</v>
      </c>
      <c r="C195" s="111">
        <v>43150</v>
      </c>
      <c r="D195" t="s">
        <v>527</v>
      </c>
      <c r="E195" t="s">
        <v>86</v>
      </c>
      <c r="F195" t="s">
        <v>519</v>
      </c>
      <c r="G195" s="73" t="s">
        <v>409</v>
      </c>
    </row>
    <row r="196" spans="1:7" x14ac:dyDescent="0.2">
      <c r="A196" s="110">
        <v>4218</v>
      </c>
      <c r="B196" t="s">
        <v>244</v>
      </c>
      <c r="C196" s="111">
        <v>43150</v>
      </c>
      <c r="D196" t="s">
        <v>527</v>
      </c>
      <c r="E196" t="s">
        <v>86</v>
      </c>
      <c r="F196" t="s">
        <v>519</v>
      </c>
      <c r="G196" s="73" t="s">
        <v>409</v>
      </c>
    </row>
    <row r="197" spans="1:7" x14ac:dyDescent="0.2">
      <c r="A197" s="110">
        <v>4232</v>
      </c>
      <c r="B197" t="s">
        <v>245</v>
      </c>
      <c r="C197" s="111">
        <v>43171</v>
      </c>
      <c r="D197" t="s">
        <v>527</v>
      </c>
      <c r="E197" t="s">
        <v>86</v>
      </c>
      <c r="F197" t="s">
        <v>519</v>
      </c>
      <c r="G197" s="73" t="s">
        <v>409</v>
      </c>
    </row>
    <row r="198" spans="1:7" x14ac:dyDescent="0.2">
      <c r="A198" s="110">
        <v>4236</v>
      </c>
      <c r="B198" t="s">
        <v>246</v>
      </c>
      <c r="C198" s="111">
        <v>43178</v>
      </c>
      <c r="D198" t="s">
        <v>527</v>
      </c>
      <c r="E198" t="s">
        <v>10</v>
      </c>
      <c r="F198" t="s">
        <v>519</v>
      </c>
      <c r="G198" s="73" t="s">
        <v>409</v>
      </c>
    </row>
    <row r="199" spans="1:7" x14ac:dyDescent="0.2">
      <c r="A199" s="110">
        <v>4246</v>
      </c>
      <c r="B199" t="s">
        <v>247</v>
      </c>
      <c r="C199" s="111">
        <v>43185</v>
      </c>
      <c r="D199" t="s">
        <v>527</v>
      </c>
      <c r="E199" t="s">
        <v>10</v>
      </c>
      <c r="F199" t="s">
        <v>519</v>
      </c>
      <c r="G199" s="73" t="s">
        <v>409</v>
      </c>
    </row>
    <row r="200" spans="1:7" x14ac:dyDescent="0.2">
      <c r="A200" s="110">
        <v>4262</v>
      </c>
      <c r="B200" t="s">
        <v>248</v>
      </c>
      <c r="C200" s="111">
        <v>43206</v>
      </c>
      <c r="D200" t="s">
        <v>531</v>
      </c>
      <c r="E200" t="s">
        <v>24</v>
      </c>
      <c r="F200" t="s">
        <v>518</v>
      </c>
      <c r="G200" t="s">
        <v>409</v>
      </c>
    </row>
    <row r="201" spans="1:7" x14ac:dyDescent="0.2">
      <c r="A201" s="110">
        <v>4263</v>
      </c>
      <c r="B201" t="s">
        <v>249</v>
      </c>
      <c r="C201" s="111">
        <v>43206</v>
      </c>
      <c r="D201" t="s">
        <v>527</v>
      </c>
      <c r="E201" t="s">
        <v>86</v>
      </c>
      <c r="F201" t="s">
        <v>519</v>
      </c>
      <c r="G201" s="73" t="s">
        <v>409</v>
      </c>
    </row>
    <row r="202" spans="1:7" x14ac:dyDescent="0.2">
      <c r="A202" s="110">
        <v>4264</v>
      </c>
      <c r="B202" t="s">
        <v>250</v>
      </c>
      <c r="C202" s="111">
        <v>43206</v>
      </c>
      <c r="D202" t="s">
        <v>527</v>
      </c>
      <c r="E202" t="s">
        <v>52</v>
      </c>
      <c r="F202" t="s">
        <v>519</v>
      </c>
      <c r="G202" s="73" t="s">
        <v>409</v>
      </c>
    </row>
    <row r="203" spans="1:7" x14ac:dyDescent="0.2">
      <c r="A203" s="110">
        <v>4284</v>
      </c>
      <c r="B203" t="s">
        <v>251</v>
      </c>
      <c r="C203" s="111">
        <v>43241</v>
      </c>
      <c r="D203" t="s">
        <v>536</v>
      </c>
      <c r="E203" t="s">
        <v>46</v>
      </c>
      <c r="F203" t="s">
        <v>519</v>
      </c>
      <c r="G203" s="73" t="s">
        <v>409</v>
      </c>
    </row>
    <row r="204" spans="1:7" x14ac:dyDescent="0.2">
      <c r="A204" s="110">
        <v>4285</v>
      </c>
      <c r="B204" t="s">
        <v>252</v>
      </c>
      <c r="C204" s="111">
        <v>43241</v>
      </c>
      <c r="D204" t="s">
        <v>535</v>
      </c>
      <c r="E204" t="s">
        <v>158</v>
      </c>
      <c r="F204" t="s">
        <v>519</v>
      </c>
      <c r="G204" s="73" t="s">
        <v>407</v>
      </c>
    </row>
    <row r="205" spans="1:7" x14ac:dyDescent="0.2">
      <c r="A205" s="110">
        <v>4295</v>
      </c>
      <c r="B205" t="s">
        <v>253</v>
      </c>
      <c r="C205" s="111">
        <v>43248</v>
      </c>
      <c r="D205" t="s">
        <v>527</v>
      </c>
      <c r="E205" t="s">
        <v>10</v>
      </c>
      <c r="F205" t="s">
        <v>519</v>
      </c>
      <c r="G205" s="73" t="s">
        <v>409</v>
      </c>
    </row>
    <row r="206" spans="1:7" x14ac:dyDescent="0.2">
      <c r="A206" s="110">
        <v>4298</v>
      </c>
      <c r="B206" t="s">
        <v>254</v>
      </c>
      <c r="C206" s="111">
        <v>43248</v>
      </c>
      <c r="D206" t="s">
        <v>535</v>
      </c>
      <c r="E206" t="s">
        <v>104</v>
      </c>
      <c r="F206" t="s">
        <v>519</v>
      </c>
      <c r="G206" s="73" t="s">
        <v>409</v>
      </c>
    </row>
    <row r="207" spans="1:7" x14ac:dyDescent="0.2">
      <c r="A207" s="110">
        <v>4302</v>
      </c>
      <c r="B207" t="s">
        <v>255</v>
      </c>
      <c r="C207" s="111">
        <v>43255</v>
      </c>
      <c r="D207" t="s">
        <v>535</v>
      </c>
      <c r="E207" t="s">
        <v>158</v>
      </c>
      <c r="F207" t="s">
        <v>519</v>
      </c>
      <c r="G207" s="73" t="s">
        <v>407</v>
      </c>
    </row>
    <row r="208" spans="1:7" x14ac:dyDescent="0.2">
      <c r="A208" s="110">
        <v>4308</v>
      </c>
      <c r="B208" t="s">
        <v>256</v>
      </c>
      <c r="C208" s="111">
        <v>43262</v>
      </c>
      <c r="D208" t="s">
        <v>527</v>
      </c>
      <c r="E208" t="s">
        <v>61</v>
      </c>
      <c r="F208" t="s">
        <v>519</v>
      </c>
      <c r="G208" s="73" t="s">
        <v>409</v>
      </c>
    </row>
    <row r="209" spans="1:7" x14ac:dyDescent="0.2">
      <c r="A209" s="110">
        <v>4312</v>
      </c>
      <c r="B209" t="s">
        <v>257</v>
      </c>
      <c r="C209" s="111">
        <v>43269</v>
      </c>
      <c r="D209" t="s">
        <v>527</v>
      </c>
      <c r="E209" t="s">
        <v>86</v>
      </c>
      <c r="F209" t="s">
        <v>519</v>
      </c>
      <c r="G209" s="73" t="s">
        <v>409</v>
      </c>
    </row>
    <row r="210" spans="1:7" x14ac:dyDescent="0.2">
      <c r="A210" s="110">
        <v>4320</v>
      </c>
      <c r="B210" t="s">
        <v>258</v>
      </c>
      <c r="C210" s="111">
        <v>43276</v>
      </c>
      <c r="D210" t="s">
        <v>536</v>
      </c>
      <c r="E210" t="s">
        <v>46</v>
      </c>
      <c r="F210" t="s">
        <v>519</v>
      </c>
      <c r="G210" s="73" t="s">
        <v>409</v>
      </c>
    </row>
    <row r="211" spans="1:7" x14ac:dyDescent="0.2">
      <c r="A211" s="110">
        <v>4321</v>
      </c>
      <c r="B211" t="s">
        <v>259</v>
      </c>
      <c r="C211" s="111">
        <v>43276</v>
      </c>
      <c r="D211" t="s">
        <v>535</v>
      </c>
      <c r="E211" t="s">
        <v>219</v>
      </c>
      <c r="F211" t="s">
        <v>519</v>
      </c>
      <c r="G211" s="73" t="s">
        <v>409</v>
      </c>
    </row>
    <row r="212" spans="1:7" x14ac:dyDescent="0.2">
      <c r="A212" s="110">
        <v>4330</v>
      </c>
      <c r="B212" t="s">
        <v>260</v>
      </c>
      <c r="C212" s="111">
        <v>43283</v>
      </c>
      <c r="D212" t="s">
        <v>536</v>
      </c>
      <c r="E212" t="s">
        <v>46</v>
      </c>
      <c r="F212" t="s">
        <v>519</v>
      </c>
      <c r="G212" s="73" t="s">
        <v>409</v>
      </c>
    </row>
    <row r="213" spans="1:7" x14ac:dyDescent="0.2">
      <c r="A213" s="110">
        <v>4337</v>
      </c>
      <c r="B213" t="s">
        <v>261</v>
      </c>
      <c r="C213" s="111">
        <v>43290</v>
      </c>
      <c r="D213" t="s">
        <v>527</v>
      </c>
      <c r="E213" t="s">
        <v>86</v>
      </c>
      <c r="F213" t="s">
        <v>519</v>
      </c>
      <c r="G213" s="73" t="s">
        <v>409</v>
      </c>
    </row>
    <row r="214" spans="1:7" x14ac:dyDescent="0.2">
      <c r="A214" s="110">
        <v>4350</v>
      </c>
      <c r="B214" t="s">
        <v>262</v>
      </c>
      <c r="C214" s="111">
        <v>43311</v>
      </c>
      <c r="D214" t="s">
        <v>536</v>
      </c>
      <c r="E214" t="s">
        <v>46</v>
      </c>
      <c r="F214" t="s">
        <v>519</v>
      </c>
      <c r="G214" s="73" t="s">
        <v>409</v>
      </c>
    </row>
    <row r="215" spans="1:7" x14ac:dyDescent="0.2">
      <c r="A215" s="110">
        <v>4353</v>
      </c>
      <c r="B215" t="s">
        <v>263</v>
      </c>
      <c r="C215" s="111">
        <v>43325</v>
      </c>
      <c r="D215" t="s">
        <v>527</v>
      </c>
      <c r="E215" t="s">
        <v>61</v>
      </c>
      <c r="F215" t="s">
        <v>519</v>
      </c>
      <c r="G215" s="73" t="s">
        <v>409</v>
      </c>
    </row>
    <row r="216" spans="1:7" x14ac:dyDescent="0.2">
      <c r="A216" s="110">
        <v>4364</v>
      </c>
      <c r="B216" t="s">
        <v>264</v>
      </c>
      <c r="C216" s="111">
        <v>43346</v>
      </c>
      <c r="D216" t="s">
        <v>527</v>
      </c>
      <c r="E216" t="s">
        <v>10</v>
      </c>
      <c r="F216" t="s">
        <v>519</v>
      </c>
      <c r="G216" s="73" t="s">
        <v>409</v>
      </c>
    </row>
    <row r="217" spans="1:7" x14ac:dyDescent="0.2">
      <c r="A217" s="110">
        <v>4372</v>
      </c>
      <c r="B217" t="s">
        <v>265</v>
      </c>
      <c r="C217" s="111">
        <v>43353</v>
      </c>
      <c r="D217" t="s">
        <v>527</v>
      </c>
      <c r="E217" t="s">
        <v>54</v>
      </c>
      <c r="F217" t="s">
        <v>519</v>
      </c>
      <c r="G217" s="73" t="s">
        <v>409</v>
      </c>
    </row>
    <row r="218" spans="1:7" x14ac:dyDescent="0.2">
      <c r="A218" s="110">
        <v>4373</v>
      </c>
      <c r="B218" t="s">
        <v>266</v>
      </c>
      <c r="C218" s="111">
        <v>43353</v>
      </c>
      <c r="D218" t="s">
        <v>536</v>
      </c>
      <c r="E218" t="s">
        <v>46</v>
      </c>
      <c r="F218" t="s">
        <v>519</v>
      </c>
      <c r="G218" s="73" t="s">
        <v>409</v>
      </c>
    </row>
    <row r="219" spans="1:7" x14ac:dyDescent="0.2">
      <c r="A219" s="110">
        <v>4401</v>
      </c>
      <c r="B219" t="s">
        <v>267</v>
      </c>
      <c r="C219" s="111">
        <v>43423</v>
      </c>
      <c r="D219" t="s">
        <v>538</v>
      </c>
      <c r="E219" t="s">
        <v>143</v>
      </c>
      <c r="F219" t="s">
        <v>519</v>
      </c>
      <c r="G219" s="73" t="s">
        <v>409</v>
      </c>
    </row>
    <row r="220" spans="1:7" x14ac:dyDescent="0.2">
      <c r="A220" s="110">
        <v>4402</v>
      </c>
      <c r="B220" t="s">
        <v>268</v>
      </c>
      <c r="C220" s="111">
        <v>43423</v>
      </c>
      <c r="D220" t="s">
        <v>535</v>
      </c>
      <c r="E220" t="s">
        <v>269</v>
      </c>
      <c r="F220" t="s">
        <v>517</v>
      </c>
      <c r="G220" s="73" t="s">
        <v>409</v>
      </c>
    </row>
    <row r="221" spans="1:7" x14ac:dyDescent="0.2">
      <c r="A221" s="110">
        <v>4414</v>
      </c>
      <c r="B221" t="s">
        <v>270</v>
      </c>
      <c r="C221" s="111">
        <v>43430</v>
      </c>
      <c r="D221" t="s">
        <v>527</v>
      </c>
      <c r="E221" t="s">
        <v>54</v>
      </c>
      <c r="F221" t="s">
        <v>519</v>
      </c>
      <c r="G221" s="73" t="s">
        <v>409</v>
      </c>
    </row>
    <row r="222" spans="1:7" x14ac:dyDescent="0.2">
      <c r="A222" s="110">
        <v>4416</v>
      </c>
      <c r="B222" t="s">
        <v>271</v>
      </c>
      <c r="C222" s="111">
        <v>43430</v>
      </c>
      <c r="D222" t="s">
        <v>527</v>
      </c>
      <c r="E222" t="s">
        <v>10</v>
      </c>
      <c r="F222" t="s">
        <v>519</v>
      </c>
      <c r="G222" s="73" t="s">
        <v>409</v>
      </c>
    </row>
    <row r="223" spans="1:7" x14ac:dyDescent="0.2">
      <c r="A223" s="110">
        <v>4424</v>
      </c>
      <c r="B223" t="s">
        <v>272</v>
      </c>
      <c r="C223" s="111">
        <v>43437</v>
      </c>
      <c r="D223" t="s">
        <v>527</v>
      </c>
      <c r="E223" t="s">
        <v>10</v>
      </c>
      <c r="F223" t="s">
        <v>519</v>
      </c>
      <c r="G223" s="73" t="s">
        <v>409</v>
      </c>
    </row>
    <row r="224" spans="1:7" x14ac:dyDescent="0.2">
      <c r="A224" s="110">
        <v>4431</v>
      </c>
      <c r="B224" t="s">
        <v>273</v>
      </c>
      <c r="C224" s="111">
        <v>43472</v>
      </c>
      <c r="D224" t="s">
        <v>536</v>
      </c>
      <c r="E224" t="s">
        <v>46</v>
      </c>
      <c r="F224" t="s">
        <v>519</v>
      </c>
      <c r="G224" s="73" t="s">
        <v>409</v>
      </c>
    </row>
    <row r="225" spans="1:7" x14ac:dyDescent="0.2">
      <c r="A225" s="110">
        <v>4434</v>
      </c>
      <c r="B225" t="s">
        <v>274</v>
      </c>
      <c r="C225" s="111">
        <v>43472</v>
      </c>
      <c r="D225" t="s">
        <v>537</v>
      </c>
      <c r="E225" t="s">
        <v>125</v>
      </c>
      <c r="F225" t="s">
        <v>519</v>
      </c>
      <c r="G225" s="73" t="s">
        <v>409</v>
      </c>
    </row>
    <row r="226" spans="1:7" x14ac:dyDescent="0.2">
      <c r="A226" s="110">
        <v>4483</v>
      </c>
      <c r="B226" t="s">
        <v>275</v>
      </c>
      <c r="C226" s="111">
        <v>43564</v>
      </c>
      <c r="D226" t="s">
        <v>527</v>
      </c>
      <c r="E226" t="s">
        <v>54</v>
      </c>
      <c r="F226" t="s">
        <v>519</v>
      </c>
      <c r="G226" s="73" t="s">
        <v>409</v>
      </c>
    </row>
    <row r="227" spans="1:7" x14ac:dyDescent="0.2">
      <c r="A227" s="110">
        <v>4502</v>
      </c>
      <c r="B227" t="s">
        <v>276</v>
      </c>
      <c r="C227" s="111">
        <v>43584</v>
      </c>
      <c r="D227" t="s">
        <v>535</v>
      </c>
      <c r="E227" t="s">
        <v>219</v>
      </c>
      <c r="F227" t="s">
        <v>519</v>
      </c>
      <c r="G227" s="73" t="s">
        <v>409</v>
      </c>
    </row>
    <row r="228" spans="1:7" x14ac:dyDescent="0.2">
      <c r="A228" s="110">
        <v>4503</v>
      </c>
      <c r="B228" t="s">
        <v>277</v>
      </c>
      <c r="C228" s="111">
        <v>43584</v>
      </c>
      <c r="D228" t="s">
        <v>527</v>
      </c>
      <c r="E228" t="s">
        <v>61</v>
      </c>
      <c r="F228" t="s">
        <v>519</v>
      </c>
      <c r="G228" s="73" t="s">
        <v>409</v>
      </c>
    </row>
    <row r="229" spans="1:7" x14ac:dyDescent="0.2">
      <c r="A229" s="110">
        <v>4506</v>
      </c>
      <c r="B229" t="s">
        <v>278</v>
      </c>
      <c r="C229" s="111">
        <v>43591</v>
      </c>
      <c r="D229" t="s">
        <v>539</v>
      </c>
      <c r="E229" t="s">
        <v>190</v>
      </c>
      <c r="F229" t="s">
        <v>519</v>
      </c>
      <c r="G229" t="s">
        <v>428</v>
      </c>
    </row>
    <row r="230" spans="1:7" x14ac:dyDescent="0.2">
      <c r="A230" s="110">
        <v>4508</v>
      </c>
      <c r="B230" t="s">
        <v>279</v>
      </c>
      <c r="C230" s="111">
        <v>43598</v>
      </c>
      <c r="D230" t="s">
        <v>527</v>
      </c>
      <c r="E230" t="s">
        <v>10</v>
      </c>
      <c r="F230" t="s">
        <v>519</v>
      </c>
      <c r="G230" s="73" t="s">
        <v>409</v>
      </c>
    </row>
    <row r="231" spans="1:7" x14ac:dyDescent="0.2">
      <c r="A231" s="110">
        <v>4509</v>
      </c>
      <c r="B231" t="s">
        <v>280</v>
      </c>
      <c r="C231" s="111">
        <v>43598</v>
      </c>
      <c r="D231" t="s">
        <v>527</v>
      </c>
      <c r="E231" t="s">
        <v>10</v>
      </c>
      <c r="F231" t="s">
        <v>519</v>
      </c>
      <c r="G231" s="73" t="s">
        <v>409</v>
      </c>
    </row>
    <row r="232" spans="1:7" x14ac:dyDescent="0.2">
      <c r="A232" s="110">
        <v>4530</v>
      </c>
      <c r="B232" t="s">
        <v>281</v>
      </c>
      <c r="C232" s="111">
        <v>43654</v>
      </c>
      <c r="D232" t="s">
        <v>538</v>
      </c>
      <c r="E232" t="s">
        <v>143</v>
      </c>
      <c r="F232" t="s">
        <v>519</v>
      </c>
      <c r="G232" s="73" t="s">
        <v>409</v>
      </c>
    </row>
    <row r="233" spans="1:7" x14ac:dyDescent="0.2">
      <c r="A233" s="110">
        <v>4548</v>
      </c>
      <c r="B233" t="s">
        <v>282</v>
      </c>
      <c r="C233" s="111">
        <v>43738</v>
      </c>
      <c r="D233" t="s">
        <v>531</v>
      </c>
      <c r="E233" t="s">
        <v>24</v>
      </c>
      <c r="F233" t="s">
        <v>518</v>
      </c>
      <c r="G233" t="s">
        <v>409</v>
      </c>
    </row>
    <row r="234" spans="1:7" x14ac:dyDescent="0.2">
      <c r="A234" s="110">
        <v>4567</v>
      </c>
      <c r="B234" t="s">
        <v>283</v>
      </c>
      <c r="C234" s="111">
        <v>43768</v>
      </c>
      <c r="D234" t="s">
        <v>527</v>
      </c>
      <c r="E234" t="s">
        <v>10</v>
      </c>
      <c r="F234" t="s">
        <v>519</v>
      </c>
      <c r="G234" s="73" t="s">
        <v>409</v>
      </c>
    </row>
    <row r="235" spans="1:7" x14ac:dyDescent="0.2">
      <c r="A235" s="110">
        <v>4713</v>
      </c>
      <c r="B235" t="s">
        <v>284</v>
      </c>
      <c r="C235" s="111">
        <v>43864</v>
      </c>
      <c r="D235" t="s">
        <v>527</v>
      </c>
      <c r="E235" t="s">
        <v>10</v>
      </c>
      <c r="F235" t="s">
        <v>519</v>
      </c>
      <c r="G235" s="73" t="s">
        <v>409</v>
      </c>
    </row>
    <row r="236" spans="1:7" x14ac:dyDescent="0.2">
      <c r="A236" s="110">
        <v>4726</v>
      </c>
      <c r="B236" t="s">
        <v>285</v>
      </c>
      <c r="C236" s="111">
        <v>43878</v>
      </c>
      <c r="D236" t="s">
        <v>527</v>
      </c>
      <c r="E236" t="s">
        <v>54</v>
      </c>
      <c r="F236" t="s">
        <v>519</v>
      </c>
      <c r="G236" s="73" t="s">
        <v>409</v>
      </c>
    </row>
    <row r="237" spans="1:7" x14ac:dyDescent="0.2">
      <c r="A237" s="110">
        <v>4753</v>
      </c>
      <c r="B237" t="s">
        <v>286</v>
      </c>
      <c r="C237" s="111">
        <v>43906</v>
      </c>
      <c r="D237" t="s">
        <v>536</v>
      </c>
      <c r="E237" t="s">
        <v>46</v>
      </c>
      <c r="F237" t="s">
        <v>519</v>
      </c>
      <c r="G237" s="73" t="s">
        <v>409</v>
      </c>
    </row>
    <row r="238" spans="1:7" x14ac:dyDescent="0.2">
      <c r="A238" s="110">
        <v>4754</v>
      </c>
      <c r="B238" t="s">
        <v>287</v>
      </c>
      <c r="C238" s="111">
        <v>43906</v>
      </c>
      <c r="D238" t="s">
        <v>536</v>
      </c>
      <c r="E238" t="s">
        <v>46</v>
      </c>
      <c r="F238" t="s">
        <v>519</v>
      </c>
      <c r="G238" s="73" t="s">
        <v>409</v>
      </c>
    </row>
    <row r="239" spans="1:7" x14ac:dyDescent="0.2">
      <c r="A239" s="110">
        <v>4755</v>
      </c>
      <c r="B239" t="s">
        <v>288</v>
      </c>
      <c r="C239" s="111">
        <v>43906</v>
      </c>
      <c r="D239" t="s">
        <v>539</v>
      </c>
      <c r="E239" t="s">
        <v>289</v>
      </c>
      <c r="F239" t="s">
        <v>519</v>
      </c>
      <c r="G239" t="s">
        <v>428</v>
      </c>
    </row>
    <row r="240" spans="1:7" x14ac:dyDescent="0.2">
      <c r="A240" s="110">
        <v>4805</v>
      </c>
      <c r="B240" t="s">
        <v>290</v>
      </c>
      <c r="C240" s="111">
        <v>44053</v>
      </c>
      <c r="D240" t="s">
        <v>531</v>
      </c>
      <c r="E240" t="s">
        <v>24</v>
      </c>
      <c r="F240" t="s">
        <v>518</v>
      </c>
      <c r="G240" t="s">
        <v>411</v>
      </c>
    </row>
    <row r="241" spans="1:7" x14ac:dyDescent="0.2">
      <c r="A241" s="110">
        <v>4806</v>
      </c>
      <c r="B241" t="s">
        <v>291</v>
      </c>
      <c r="C241" s="111">
        <v>44053</v>
      </c>
      <c r="D241" t="s">
        <v>531</v>
      </c>
      <c r="E241" t="s">
        <v>12</v>
      </c>
      <c r="F241" t="s">
        <v>517</v>
      </c>
      <c r="G241" t="s">
        <v>409</v>
      </c>
    </row>
    <row r="242" spans="1:7" x14ac:dyDescent="0.2">
      <c r="A242" s="110">
        <v>5022</v>
      </c>
      <c r="B242" t="s">
        <v>292</v>
      </c>
      <c r="C242" s="111">
        <v>44298</v>
      </c>
      <c r="D242" t="s">
        <v>527</v>
      </c>
      <c r="E242" t="s">
        <v>10</v>
      </c>
      <c r="F242" t="s">
        <v>519</v>
      </c>
      <c r="G242" s="73" t="s">
        <v>411</v>
      </c>
    </row>
    <row r="243" spans="1:7" x14ac:dyDescent="0.2">
      <c r="A243" s="110">
        <v>5033</v>
      </c>
      <c r="B243" t="s">
        <v>293</v>
      </c>
      <c r="C243" s="111">
        <v>44319</v>
      </c>
      <c r="D243" t="s">
        <v>535</v>
      </c>
      <c r="E243" t="s">
        <v>158</v>
      </c>
      <c r="F243" t="s">
        <v>519</v>
      </c>
      <c r="G243" s="73" t="s">
        <v>411</v>
      </c>
    </row>
    <row r="244" spans="1:7" x14ac:dyDescent="0.2">
      <c r="A244" s="110">
        <v>5039</v>
      </c>
      <c r="B244" t="s">
        <v>294</v>
      </c>
      <c r="C244" s="111">
        <v>44340</v>
      </c>
      <c r="D244" t="s">
        <v>527</v>
      </c>
      <c r="E244" t="s">
        <v>86</v>
      </c>
      <c r="F244" t="s">
        <v>519</v>
      </c>
      <c r="G244" s="73" t="s">
        <v>411</v>
      </c>
    </row>
    <row r="245" spans="1:7" x14ac:dyDescent="0.2">
      <c r="A245" s="110">
        <v>5041</v>
      </c>
      <c r="B245" t="s">
        <v>295</v>
      </c>
      <c r="C245" s="111">
        <v>44340</v>
      </c>
      <c r="D245" t="s">
        <v>527</v>
      </c>
      <c r="E245" t="s">
        <v>61</v>
      </c>
      <c r="F245" t="s">
        <v>519</v>
      </c>
      <c r="G245" s="73" t="s">
        <v>411</v>
      </c>
    </row>
    <row r="246" spans="1:7" x14ac:dyDescent="0.2">
      <c r="A246" s="110">
        <v>5045</v>
      </c>
      <c r="B246" t="s">
        <v>296</v>
      </c>
      <c r="C246" s="111">
        <v>44348</v>
      </c>
      <c r="D246" t="s">
        <v>527</v>
      </c>
      <c r="E246" t="s">
        <v>54</v>
      </c>
      <c r="F246" t="s">
        <v>519</v>
      </c>
      <c r="G246" s="73" t="s">
        <v>411</v>
      </c>
    </row>
    <row r="247" spans="1:7" x14ac:dyDescent="0.2">
      <c r="A247" s="110">
        <v>5046</v>
      </c>
      <c r="B247" t="s">
        <v>297</v>
      </c>
      <c r="C247" s="111">
        <v>44348</v>
      </c>
      <c r="D247" t="s">
        <v>527</v>
      </c>
      <c r="E247" t="s">
        <v>86</v>
      </c>
      <c r="F247" t="s">
        <v>519</v>
      </c>
      <c r="G247" s="73" t="s">
        <v>411</v>
      </c>
    </row>
    <row r="248" spans="1:7" x14ac:dyDescent="0.2">
      <c r="A248" s="110">
        <v>5055</v>
      </c>
      <c r="B248" t="s">
        <v>298</v>
      </c>
      <c r="C248" s="111">
        <v>44368</v>
      </c>
      <c r="D248" t="s">
        <v>527</v>
      </c>
      <c r="E248" t="s">
        <v>54</v>
      </c>
      <c r="F248" t="s">
        <v>519</v>
      </c>
      <c r="G248" s="73" t="s">
        <v>411</v>
      </c>
    </row>
    <row r="249" spans="1:7" x14ac:dyDescent="0.2">
      <c r="A249" s="110">
        <v>5058</v>
      </c>
      <c r="B249" t="s">
        <v>299</v>
      </c>
      <c r="C249" s="111">
        <v>44375</v>
      </c>
      <c r="D249" t="s">
        <v>527</v>
      </c>
      <c r="E249" t="s">
        <v>61</v>
      </c>
      <c r="F249" t="s">
        <v>519</v>
      </c>
      <c r="G249" s="73" t="s">
        <v>411</v>
      </c>
    </row>
    <row r="250" spans="1:7" x14ac:dyDescent="0.2">
      <c r="A250" s="110">
        <v>5059</v>
      </c>
      <c r="B250" t="s">
        <v>300</v>
      </c>
      <c r="C250" s="111">
        <v>44375</v>
      </c>
      <c r="D250" t="s">
        <v>535</v>
      </c>
      <c r="E250" t="s">
        <v>104</v>
      </c>
      <c r="F250" t="s">
        <v>519</v>
      </c>
      <c r="G250" s="73" t="s">
        <v>411</v>
      </c>
    </row>
    <row r="251" spans="1:7" x14ac:dyDescent="0.2">
      <c r="A251" s="110">
        <v>5078</v>
      </c>
      <c r="B251" t="s">
        <v>301</v>
      </c>
      <c r="C251" s="111">
        <v>44410</v>
      </c>
      <c r="D251" t="s">
        <v>527</v>
      </c>
      <c r="E251" t="s">
        <v>86</v>
      </c>
      <c r="F251" t="s">
        <v>519</v>
      </c>
      <c r="G251" s="73" t="s">
        <v>411</v>
      </c>
    </row>
    <row r="252" spans="1:7" x14ac:dyDescent="0.2">
      <c r="A252" s="110">
        <v>5083</v>
      </c>
      <c r="B252" t="s">
        <v>302</v>
      </c>
      <c r="C252" s="111">
        <v>44417</v>
      </c>
      <c r="D252" t="s">
        <v>535</v>
      </c>
      <c r="E252" t="s">
        <v>104</v>
      </c>
      <c r="F252" t="s">
        <v>519</v>
      </c>
      <c r="G252" s="73" t="s">
        <v>411</v>
      </c>
    </row>
    <row r="253" spans="1:7" x14ac:dyDescent="0.2">
      <c r="A253" s="110">
        <v>5084</v>
      </c>
      <c r="B253" t="s">
        <v>303</v>
      </c>
      <c r="C253" s="111">
        <v>44417</v>
      </c>
      <c r="D253" t="s">
        <v>531</v>
      </c>
      <c r="E253" t="s">
        <v>24</v>
      </c>
      <c r="F253" t="s">
        <v>518</v>
      </c>
      <c r="G253" t="s">
        <v>411</v>
      </c>
    </row>
    <row r="254" spans="1:7" x14ac:dyDescent="0.2">
      <c r="A254" s="110">
        <v>5092</v>
      </c>
      <c r="B254" t="s">
        <v>304</v>
      </c>
      <c r="C254" s="111">
        <v>44424</v>
      </c>
      <c r="D254" t="s">
        <v>531</v>
      </c>
      <c r="E254" t="s">
        <v>24</v>
      </c>
      <c r="F254" t="s">
        <v>518</v>
      </c>
      <c r="G254" t="s">
        <v>411</v>
      </c>
    </row>
    <row r="255" spans="1:7" x14ac:dyDescent="0.2">
      <c r="A255" s="110">
        <v>5105</v>
      </c>
      <c r="B255" t="s">
        <v>305</v>
      </c>
      <c r="C255" s="111">
        <v>44431</v>
      </c>
      <c r="D255" t="s">
        <v>527</v>
      </c>
      <c r="E255" t="s">
        <v>10</v>
      </c>
      <c r="F255" t="s">
        <v>519</v>
      </c>
      <c r="G255" s="73" t="s">
        <v>411</v>
      </c>
    </row>
    <row r="256" spans="1:7" x14ac:dyDescent="0.2">
      <c r="A256" s="110">
        <v>5118</v>
      </c>
      <c r="B256" t="s">
        <v>306</v>
      </c>
      <c r="C256" s="111">
        <v>44452</v>
      </c>
      <c r="D256" t="s">
        <v>527</v>
      </c>
      <c r="E256" t="s">
        <v>86</v>
      </c>
      <c r="F256" t="s">
        <v>519</v>
      </c>
      <c r="G256" s="73" t="s">
        <v>411</v>
      </c>
    </row>
    <row r="257" spans="1:7" x14ac:dyDescent="0.2">
      <c r="A257" s="110">
        <v>5125</v>
      </c>
      <c r="B257" t="s">
        <v>307</v>
      </c>
      <c r="C257" s="111">
        <v>44459</v>
      </c>
      <c r="D257" t="s">
        <v>527</v>
      </c>
      <c r="E257" t="s">
        <v>86</v>
      </c>
      <c r="F257" t="s">
        <v>519</v>
      </c>
      <c r="G257" s="73" t="s">
        <v>411</v>
      </c>
    </row>
    <row r="258" spans="1:7" x14ac:dyDescent="0.2">
      <c r="A258" s="110">
        <v>5126</v>
      </c>
      <c r="B258" t="s">
        <v>308</v>
      </c>
      <c r="C258" s="111">
        <v>44459</v>
      </c>
      <c r="D258" t="s">
        <v>527</v>
      </c>
      <c r="E258" t="s">
        <v>86</v>
      </c>
      <c r="F258" t="s">
        <v>519</v>
      </c>
      <c r="G258" s="73" t="s">
        <v>411</v>
      </c>
    </row>
    <row r="259" spans="1:7" x14ac:dyDescent="0.2">
      <c r="A259" s="110">
        <v>5127</v>
      </c>
      <c r="B259" t="s">
        <v>309</v>
      </c>
      <c r="C259" s="111">
        <v>44459</v>
      </c>
      <c r="D259" t="s">
        <v>527</v>
      </c>
      <c r="E259" t="s">
        <v>86</v>
      </c>
      <c r="F259" t="s">
        <v>519</v>
      </c>
      <c r="G259" s="73" t="s">
        <v>411</v>
      </c>
    </row>
    <row r="260" spans="1:7" x14ac:dyDescent="0.2">
      <c r="A260" s="110">
        <v>5129</v>
      </c>
      <c r="B260" t="s">
        <v>310</v>
      </c>
      <c r="C260" s="111">
        <v>44459</v>
      </c>
      <c r="D260" t="s">
        <v>527</v>
      </c>
      <c r="E260" t="s">
        <v>54</v>
      </c>
      <c r="F260" t="s">
        <v>519</v>
      </c>
      <c r="G260" s="73" t="s">
        <v>411</v>
      </c>
    </row>
    <row r="261" spans="1:7" x14ac:dyDescent="0.2">
      <c r="A261" s="110">
        <v>5132</v>
      </c>
      <c r="B261" t="s">
        <v>311</v>
      </c>
      <c r="C261" s="111">
        <v>44466</v>
      </c>
      <c r="D261" t="s">
        <v>535</v>
      </c>
      <c r="E261" t="s">
        <v>104</v>
      </c>
      <c r="F261" t="s">
        <v>519</v>
      </c>
      <c r="G261" s="73" t="s">
        <v>411</v>
      </c>
    </row>
    <row r="262" spans="1:7" x14ac:dyDescent="0.2">
      <c r="A262" s="110">
        <v>5164</v>
      </c>
      <c r="B262" t="s">
        <v>312</v>
      </c>
      <c r="C262" s="111">
        <v>44494</v>
      </c>
      <c r="D262" t="s">
        <v>536</v>
      </c>
      <c r="E262" t="s">
        <v>46</v>
      </c>
      <c r="F262" t="s">
        <v>519</v>
      </c>
      <c r="G262" s="73" t="s">
        <v>411</v>
      </c>
    </row>
    <row r="263" spans="1:7" x14ac:dyDescent="0.2">
      <c r="A263" s="110">
        <v>5175</v>
      </c>
      <c r="B263" t="s">
        <v>313</v>
      </c>
      <c r="C263" s="111">
        <v>44508</v>
      </c>
      <c r="D263" t="s">
        <v>535</v>
      </c>
      <c r="E263" t="s">
        <v>158</v>
      </c>
      <c r="F263" t="s">
        <v>519</v>
      </c>
      <c r="G263" s="73" t="s">
        <v>411</v>
      </c>
    </row>
    <row r="264" spans="1:7" x14ac:dyDescent="0.2">
      <c r="A264" s="110">
        <v>5176</v>
      </c>
      <c r="B264" t="s">
        <v>314</v>
      </c>
      <c r="C264" s="111">
        <v>44508</v>
      </c>
      <c r="D264" t="s">
        <v>527</v>
      </c>
      <c r="E264" t="s">
        <v>86</v>
      </c>
      <c r="F264" t="s">
        <v>519</v>
      </c>
      <c r="G264" s="73" t="s">
        <v>411</v>
      </c>
    </row>
    <row r="265" spans="1:7" x14ac:dyDescent="0.2">
      <c r="A265" s="110">
        <v>5185</v>
      </c>
      <c r="B265" t="s">
        <v>315</v>
      </c>
      <c r="C265" s="111">
        <v>44515</v>
      </c>
      <c r="D265" t="s">
        <v>527</v>
      </c>
      <c r="E265" t="s">
        <v>86</v>
      </c>
      <c r="F265" t="s">
        <v>519</v>
      </c>
      <c r="G265" s="73" t="s">
        <v>411</v>
      </c>
    </row>
    <row r="266" spans="1:7" x14ac:dyDescent="0.2">
      <c r="A266" s="110">
        <v>5186</v>
      </c>
      <c r="B266" t="s">
        <v>316</v>
      </c>
      <c r="C266" s="111">
        <v>44515</v>
      </c>
      <c r="D266" t="s">
        <v>527</v>
      </c>
      <c r="E266" t="s">
        <v>86</v>
      </c>
      <c r="F266" t="s">
        <v>519</v>
      </c>
      <c r="G266" s="73" t="s">
        <v>411</v>
      </c>
    </row>
    <row r="267" spans="1:7" x14ac:dyDescent="0.2">
      <c r="A267" s="110">
        <v>5194</v>
      </c>
      <c r="B267" t="s">
        <v>317</v>
      </c>
      <c r="C267" s="111">
        <v>44522</v>
      </c>
      <c r="D267" t="s">
        <v>527</v>
      </c>
      <c r="E267" t="s">
        <v>86</v>
      </c>
      <c r="F267" t="s">
        <v>519</v>
      </c>
      <c r="G267" s="73" t="s">
        <v>411</v>
      </c>
    </row>
    <row r="268" spans="1:7" x14ac:dyDescent="0.2">
      <c r="A268" s="110">
        <v>5202</v>
      </c>
      <c r="B268" t="s">
        <v>318</v>
      </c>
      <c r="C268" s="111">
        <v>44529</v>
      </c>
      <c r="D268" t="s">
        <v>531</v>
      </c>
      <c r="E268" t="s">
        <v>24</v>
      </c>
      <c r="F268" t="s">
        <v>518</v>
      </c>
      <c r="G268" t="s">
        <v>411</v>
      </c>
    </row>
    <row r="269" spans="1:7" x14ac:dyDescent="0.2">
      <c r="A269" s="110">
        <v>5203</v>
      </c>
      <c r="B269" t="s">
        <v>319</v>
      </c>
      <c r="C269" s="111">
        <v>44529</v>
      </c>
      <c r="D269" t="s">
        <v>527</v>
      </c>
      <c r="E269" t="s">
        <v>10</v>
      </c>
      <c r="F269" t="s">
        <v>519</v>
      </c>
      <c r="G269" s="73" t="s">
        <v>411</v>
      </c>
    </row>
    <row r="270" spans="1:7" x14ac:dyDescent="0.2">
      <c r="A270" s="110">
        <v>5217</v>
      </c>
      <c r="B270" t="s">
        <v>320</v>
      </c>
      <c r="C270" s="111">
        <v>44543</v>
      </c>
      <c r="D270" t="s">
        <v>527</v>
      </c>
      <c r="E270" t="s">
        <v>86</v>
      </c>
      <c r="F270" t="s">
        <v>519</v>
      </c>
      <c r="G270" s="73" t="s">
        <v>411</v>
      </c>
    </row>
    <row r="271" spans="1:7" x14ac:dyDescent="0.2">
      <c r="A271" s="110">
        <v>5220</v>
      </c>
      <c r="B271" t="s">
        <v>321</v>
      </c>
      <c r="C271" s="111">
        <v>44543</v>
      </c>
      <c r="D271" t="s">
        <v>535</v>
      </c>
      <c r="E271" t="s">
        <v>104</v>
      </c>
      <c r="F271" t="s">
        <v>519</v>
      </c>
      <c r="G271" s="73" t="s">
        <v>411</v>
      </c>
    </row>
    <row r="272" spans="1:7" x14ac:dyDescent="0.2">
      <c r="A272" s="110">
        <v>5242</v>
      </c>
      <c r="B272" t="s">
        <v>322</v>
      </c>
      <c r="C272" s="111">
        <v>44550</v>
      </c>
      <c r="D272" t="s">
        <v>527</v>
      </c>
      <c r="E272" t="s">
        <v>10</v>
      </c>
      <c r="F272" t="s">
        <v>519</v>
      </c>
      <c r="G272" s="73" t="s">
        <v>411</v>
      </c>
    </row>
    <row r="273" spans="1:7" x14ac:dyDescent="0.2">
      <c r="A273" s="110">
        <v>5243</v>
      </c>
      <c r="B273" t="s">
        <v>323</v>
      </c>
      <c r="C273" s="111">
        <v>44550</v>
      </c>
      <c r="D273" t="s">
        <v>527</v>
      </c>
      <c r="E273" t="s">
        <v>54</v>
      </c>
      <c r="F273" t="s">
        <v>519</v>
      </c>
      <c r="G273" s="73" t="s">
        <v>411</v>
      </c>
    </row>
    <row r="274" spans="1:7" x14ac:dyDescent="0.2">
      <c r="A274" s="110">
        <v>5244</v>
      </c>
      <c r="B274" t="s">
        <v>324</v>
      </c>
      <c r="C274" s="111">
        <v>44550</v>
      </c>
      <c r="D274" t="s">
        <v>527</v>
      </c>
      <c r="E274" t="s">
        <v>86</v>
      </c>
      <c r="F274" t="s">
        <v>519</v>
      </c>
      <c r="G274" s="73" t="s">
        <v>411</v>
      </c>
    </row>
    <row r="275" spans="1:7" x14ac:dyDescent="0.2">
      <c r="A275" s="110">
        <v>5245</v>
      </c>
      <c r="B275" t="s">
        <v>325</v>
      </c>
      <c r="C275" s="111">
        <v>44550</v>
      </c>
      <c r="D275" t="s">
        <v>527</v>
      </c>
      <c r="E275" t="s">
        <v>86</v>
      </c>
      <c r="F275" t="s">
        <v>519</v>
      </c>
      <c r="G275" s="73" t="s">
        <v>411</v>
      </c>
    </row>
    <row r="276" spans="1:7" x14ac:dyDescent="0.2">
      <c r="A276" s="110">
        <v>5262</v>
      </c>
      <c r="B276" t="s">
        <v>326</v>
      </c>
      <c r="C276" s="111">
        <v>44564</v>
      </c>
      <c r="D276" t="s">
        <v>527</v>
      </c>
      <c r="E276" t="s">
        <v>54</v>
      </c>
      <c r="F276" t="s">
        <v>519</v>
      </c>
      <c r="G276" s="73" t="s">
        <v>411</v>
      </c>
    </row>
    <row r="277" spans="1:7" x14ac:dyDescent="0.2">
      <c r="A277" s="110">
        <v>5265</v>
      </c>
      <c r="B277" t="s">
        <v>327</v>
      </c>
      <c r="C277" s="111">
        <v>44564</v>
      </c>
      <c r="D277" t="s">
        <v>527</v>
      </c>
      <c r="E277" t="s">
        <v>10</v>
      </c>
      <c r="F277" t="s">
        <v>519</v>
      </c>
      <c r="G277" s="73" t="s">
        <v>411</v>
      </c>
    </row>
    <row r="278" spans="1:7" x14ac:dyDescent="0.2">
      <c r="A278" s="110">
        <v>5266</v>
      </c>
      <c r="B278" t="s">
        <v>328</v>
      </c>
      <c r="C278" s="111">
        <v>44564</v>
      </c>
      <c r="D278" t="s">
        <v>527</v>
      </c>
      <c r="E278" t="s">
        <v>10</v>
      </c>
      <c r="F278" t="s">
        <v>519</v>
      </c>
      <c r="G278" s="73" t="s">
        <v>411</v>
      </c>
    </row>
    <row r="279" spans="1:7" x14ac:dyDescent="0.2">
      <c r="A279" s="110">
        <v>5268</v>
      </c>
      <c r="B279" t="s">
        <v>329</v>
      </c>
      <c r="C279" s="111">
        <v>44564</v>
      </c>
      <c r="D279" t="s">
        <v>527</v>
      </c>
      <c r="E279" t="s">
        <v>10</v>
      </c>
      <c r="F279" t="s">
        <v>519</v>
      </c>
      <c r="G279" s="73" t="s">
        <v>411</v>
      </c>
    </row>
    <row r="280" spans="1:7" x14ac:dyDescent="0.2">
      <c r="A280" s="110">
        <v>5274</v>
      </c>
      <c r="B280" t="s">
        <v>330</v>
      </c>
      <c r="C280" s="111">
        <v>44571</v>
      </c>
      <c r="D280" t="s">
        <v>527</v>
      </c>
      <c r="E280" t="s">
        <v>10</v>
      </c>
      <c r="F280" t="s">
        <v>519</v>
      </c>
      <c r="G280" s="73" t="s">
        <v>411</v>
      </c>
    </row>
    <row r="281" spans="1:7" x14ac:dyDescent="0.2">
      <c r="A281" s="110">
        <v>5275</v>
      </c>
      <c r="B281" t="s">
        <v>331</v>
      </c>
      <c r="C281" s="111">
        <v>44571</v>
      </c>
      <c r="D281" t="s">
        <v>527</v>
      </c>
      <c r="E281" t="s">
        <v>54</v>
      </c>
      <c r="F281" t="s">
        <v>519</v>
      </c>
      <c r="G281" s="73" t="s">
        <v>411</v>
      </c>
    </row>
    <row r="282" spans="1:7" x14ac:dyDescent="0.2">
      <c r="A282" s="110">
        <v>5277</v>
      </c>
      <c r="B282" t="s">
        <v>332</v>
      </c>
      <c r="C282" s="111">
        <v>44571</v>
      </c>
      <c r="D282" t="s">
        <v>536</v>
      </c>
      <c r="E282" t="s">
        <v>46</v>
      </c>
      <c r="F282" t="s">
        <v>519</v>
      </c>
      <c r="G282" s="73" t="s">
        <v>411</v>
      </c>
    </row>
    <row r="283" spans="1:7" x14ac:dyDescent="0.2">
      <c r="A283" s="110">
        <v>5278</v>
      </c>
      <c r="B283" t="s">
        <v>333</v>
      </c>
      <c r="C283" s="111">
        <v>44571</v>
      </c>
      <c r="D283" t="s">
        <v>527</v>
      </c>
      <c r="E283" t="s">
        <v>86</v>
      </c>
      <c r="F283" t="s">
        <v>519</v>
      </c>
      <c r="G283" s="73" t="s">
        <v>411</v>
      </c>
    </row>
    <row r="284" spans="1:7" x14ac:dyDescent="0.2">
      <c r="A284" s="110">
        <v>5285</v>
      </c>
      <c r="B284" t="s">
        <v>334</v>
      </c>
      <c r="C284" s="111">
        <v>44578</v>
      </c>
      <c r="D284" t="s">
        <v>527</v>
      </c>
      <c r="E284" t="s">
        <v>54</v>
      </c>
      <c r="F284" t="s">
        <v>519</v>
      </c>
      <c r="G284" s="73" t="s">
        <v>411</v>
      </c>
    </row>
    <row r="285" spans="1:7" x14ac:dyDescent="0.2">
      <c r="A285" s="110">
        <v>5287</v>
      </c>
      <c r="B285" t="s">
        <v>335</v>
      </c>
      <c r="C285" s="111">
        <v>44578</v>
      </c>
      <c r="D285" t="s">
        <v>527</v>
      </c>
      <c r="E285" t="s">
        <v>86</v>
      </c>
      <c r="F285" t="s">
        <v>519</v>
      </c>
      <c r="G285" s="73" t="s">
        <v>411</v>
      </c>
    </row>
    <row r="286" spans="1:7" x14ac:dyDescent="0.2">
      <c r="A286" s="110">
        <v>5293</v>
      </c>
      <c r="B286" t="s">
        <v>336</v>
      </c>
      <c r="C286" s="111">
        <v>44585</v>
      </c>
      <c r="D286" t="s">
        <v>527</v>
      </c>
      <c r="E286" t="s">
        <v>86</v>
      </c>
      <c r="F286" t="s">
        <v>519</v>
      </c>
      <c r="G286" s="73" t="s">
        <v>411</v>
      </c>
    </row>
    <row r="287" spans="1:7" x14ac:dyDescent="0.2">
      <c r="A287" s="110">
        <v>5294</v>
      </c>
      <c r="B287" t="s">
        <v>337</v>
      </c>
      <c r="C287" s="111">
        <v>44592</v>
      </c>
      <c r="D287" t="s">
        <v>527</v>
      </c>
      <c r="E287" t="s">
        <v>54</v>
      </c>
      <c r="F287" t="s">
        <v>519</v>
      </c>
      <c r="G287" s="73" t="s">
        <v>411</v>
      </c>
    </row>
    <row r="288" spans="1:7" x14ac:dyDescent="0.2">
      <c r="A288" s="110">
        <v>5300</v>
      </c>
      <c r="B288" t="s">
        <v>338</v>
      </c>
      <c r="C288" s="111">
        <v>44599</v>
      </c>
      <c r="D288" t="s">
        <v>527</v>
      </c>
      <c r="E288" t="s">
        <v>54</v>
      </c>
      <c r="F288" t="s">
        <v>519</v>
      </c>
      <c r="G288" s="73" t="s">
        <v>411</v>
      </c>
    </row>
    <row r="289" spans="1:7" x14ac:dyDescent="0.2">
      <c r="A289" s="110">
        <v>5302</v>
      </c>
      <c r="B289" t="s">
        <v>339</v>
      </c>
      <c r="C289" s="111">
        <v>44599</v>
      </c>
      <c r="D289" t="s">
        <v>527</v>
      </c>
      <c r="E289" t="s">
        <v>10</v>
      </c>
      <c r="F289" t="s">
        <v>519</v>
      </c>
      <c r="G289" s="73" t="s">
        <v>411</v>
      </c>
    </row>
    <row r="290" spans="1:7" x14ac:dyDescent="0.2">
      <c r="A290" s="110">
        <v>5303</v>
      </c>
      <c r="B290" t="s">
        <v>340</v>
      </c>
      <c r="C290" s="111">
        <v>44599</v>
      </c>
      <c r="D290" t="s">
        <v>535</v>
      </c>
      <c r="E290" t="s">
        <v>158</v>
      </c>
      <c r="F290" t="s">
        <v>519</v>
      </c>
      <c r="G290" s="73" t="s">
        <v>411</v>
      </c>
    </row>
    <row r="291" spans="1:7" x14ac:dyDescent="0.2">
      <c r="A291" s="110">
        <v>5304</v>
      </c>
      <c r="B291" t="s">
        <v>341</v>
      </c>
      <c r="C291" s="111">
        <v>44599</v>
      </c>
      <c r="D291" t="s">
        <v>527</v>
      </c>
      <c r="E291" t="s">
        <v>10</v>
      </c>
      <c r="F291" t="s">
        <v>519</v>
      </c>
      <c r="G291" s="73" t="s">
        <v>411</v>
      </c>
    </row>
    <row r="292" spans="1:7" x14ac:dyDescent="0.2">
      <c r="A292" s="110">
        <v>5307</v>
      </c>
      <c r="B292" t="s">
        <v>343</v>
      </c>
      <c r="C292" s="111">
        <v>44613</v>
      </c>
      <c r="D292" t="s">
        <v>527</v>
      </c>
      <c r="E292" t="s">
        <v>54</v>
      </c>
      <c r="F292" t="s">
        <v>519</v>
      </c>
      <c r="G292" s="73" t="s">
        <v>411</v>
      </c>
    </row>
    <row r="293" spans="1:7" x14ac:dyDescent="0.2">
      <c r="A293" s="110">
        <v>5309</v>
      </c>
      <c r="B293" t="s">
        <v>344</v>
      </c>
      <c r="C293" s="111">
        <v>44613</v>
      </c>
      <c r="D293" t="s">
        <v>527</v>
      </c>
      <c r="E293" t="s">
        <v>10</v>
      </c>
      <c r="F293" t="s">
        <v>519</v>
      </c>
      <c r="G293" s="73" t="s">
        <v>411</v>
      </c>
    </row>
    <row r="294" spans="1:7" x14ac:dyDescent="0.2">
      <c r="A294" s="110">
        <v>5310</v>
      </c>
      <c r="B294" t="s">
        <v>345</v>
      </c>
      <c r="C294" s="111">
        <v>44613</v>
      </c>
      <c r="D294" t="s">
        <v>536</v>
      </c>
      <c r="E294" t="s">
        <v>46</v>
      </c>
      <c r="F294" t="s">
        <v>519</v>
      </c>
      <c r="G294" s="73" t="s">
        <v>411</v>
      </c>
    </row>
    <row r="295" spans="1:7" x14ac:dyDescent="0.2">
      <c r="A295" s="110">
        <v>5313</v>
      </c>
      <c r="B295" t="s">
        <v>346</v>
      </c>
      <c r="C295" s="111">
        <v>44620</v>
      </c>
      <c r="D295" t="s">
        <v>527</v>
      </c>
      <c r="E295" t="s">
        <v>86</v>
      </c>
      <c r="F295" t="s">
        <v>519</v>
      </c>
      <c r="G295" s="73" t="s">
        <v>411</v>
      </c>
    </row>
    <row r="296" spans="1:7" x14ac:dyDescent="0.2">
      <c r="A296" s="110">
        <v>5314</v>
      </c>
      <c r="B296" t="s">
        <v>347</v>
      </c>
      <c r="C296" s="111">
        <v>44620</v>
      </c>
      <c r="D296" t="s">
        <v>527</v>
      </c>
      <c r="E296" t="s">
        <v>86</v>
      </c>
      <c r="F296" t="s">
        <v>519</v>
      </c>
      <c r="G296" s="73" t="s">
        <v>411</v>
      </c>
    </row>
    <row r="297" spans="1:7" x14ac:dyDescent="0.2">
      <c r="A297" s="110">
        <v>5315</v>
      </c>
      <c r="B297" t="s">
        <v>348</v>
      </c>
      <c r="C297" s="111">
        <v>44620</v>
      </c>
      <c r="D297" t="s">
        <v>527</v>
      </c>
      <c r="E297" t="s">
        <v>86</v>
      </c>
      <c r="F297" t="s">
        <v>519</v>
      </c>
      <c r="G297" s="73" t="s">
        <v>411</v>
      </c>
    </row>
    <row r="298" spans="1:7" x14ac:dyDescent="0.2">
      <c r="A298" s="110">
        <v>5316</v>
      </c>
      <c r="B298" t="s">
        <v>349</v>
      </c>
      <c r="C298" s="111">
        <v>44620</v>
      </c>
      <c r="D298" t="s">
        <v>527</v>
      </c>
      <c r="E298" t="s">
        <v>54</v>
      </c>
      <c r="F298" t="s">
        <v>519</v>
      </c>
      <c r="G298" s="73" t="s">
        <v>411</v>
      </c>
    </row>
    <row r="299" spans="1:7" x14ac:dyDescent="0.2">
      <c r="A299" s="110">
        <v>5317</v>
      </c>
      <c r="B299" t="s">
        <v>350</v>
      </c>
      <c r="C299" s="111">
        <v>44620</v>
      </c>
      <c r="D299" t="s">
        <v>527</v>
      </c>
      <c r="E299" t="s">
        <v>54</v>
      </c>
      <c r="F299" t="s">
        <v>519</v>
      </c>
      <c r="G299" s="73" t="s">
        <v>411</v>
      </c>
    </row>
    <row r="300" spans="1:7" x14ac:dyDescent="0.2">
      <c r="A300" s="110">
        <v>5319</v>
      </c>
      <c r="B300" t="s">
        <v>351</v>
      </c>
      <c r="C300" s="111">
        <v>44627</v>
      </c>
      <c r="D300" t="s">
        <v>527</v>
      </c>
      <c r="E300" t="s">
        <v>10</v>
      </c>
      <c r="F300" t="s">
        <v>519</v>
      </c>
      <c r="G300" s="73" t="s">
        <v>411</v>
      </c>
    </row>
    <row r="301" spans="1:7" x14ac:dyDescent="0.2">
      <c r="A301" s="110">
        <v>5321</v>
      </c>
      <c r="B301" t="s">
        <v>354</v>
      </c>
      <c r="C301" s="111">
        <v>44627</v>
      </c>
      <c r="D301" t="s">
        <v>527</v>
      </c>
      <c r="E301" t="s">
        <v>10</v>
      </c>
      <c r="F301" t="s">
        <v>519</v>
      </c>
      <c r="G301" s="73" t="s">
        <v>411</v>
      </c>
    </row>
    <row r="302" spans="1:7" x14ac:dyDescent="0.2">
      <c r="A302" s="110">
        <v>5325</v>
      </c>
      <c r="B302" t="s">
        <v>355</v>
      </c>
      <c r="C302" s="111">
        <v>44634</v>
      </c>
      <c r="D302" t="s">
        <v>539</v>
      </c>
      <c r="E302" t="s">
        <v>190</v>
      </c>
      <c r="F302" t="s">
        <v>519</v>
      </c>
      <c r="G302" t="s">
        <v>428</v>
      </c>
    </row>
    <row r="303" spans="1:7" x14ac:dyDescent="0.2">
      <c r="A303" s="110">
        <v>5326</v>
      </c>
      <c r="B303" t="s">
        <v>356</v>
      </c>
      <c r="C303" s="111">
        <v>44634</v>
      </c>
      <c r="D303" t="s">
        <v>527</v>
      </c>
      <c r="E303" t="s">
        <v>54</v>
      </c>
      <c r="F303" t="s">
        <v>519</v>
      </c>
      <c r="G303" s="73" t="s">
        <v>411</v>
      </c>
    </row>
    <row r="304" spans="1:7" x14ac:dyDescent="0.2">
      <c r="A304" s="110">
        <v>5327</v>
      </c>
      <c r="B304" t="s">
        <v>357</v>
      </c>
      <c r="C304" s="111">
        <v>44634</v>
      </c>
      <c r="D304" t="s">
        <v>527</v>
      </c>
      <c r="E304" t="s">
        <v>54</v>
      </c>
      <c r="F304" t="s">
        <v>519</v>
      </c>
      <c r="G304" s="73" t="s">
        <v>411</v>
      </c>
    </row>
    <row r="305" spans="1:7" x14ac:dyDescent="0.2">
      <c r="A305" s="110">
        <v>5328</v>
      </c>
      <c r="B305" t="s">
        <v>358</v>
      </c>
      <c r="C305" s="111">
        <v>44634</v>
      </c>
      <c r="D305" t="s">
        <v>527</v>
      </c>
      <c r="E305" t="s">
        <v>10</v>
      </c>
      <c r="F305" t="s">
        <v>519</v>
      </c>
      <c r="G305" s="73" t="s">
        <v>411</v>
      </c>
    </row>
    <row r="306" spans="1:7" x14ac:dyDescent="0.2">
      <c r="A306" s="110">
        <v>5329</v>
      </c>
      <c r="B306" t="s">
        <v>359</v>
      </c>
      <c r="C306" s="111">
        <v>44634</v>
      </c>
      <c r="D306" t="s">
        <v>535</v>
      </c>
      <c r="E306" t="s">
        <v>104</v>
      </c>
      <c r="F306" t="s">
        <v>519</v>
      </c>
      <c r="G306" s="73" t="s">
        <v>411</v>
      </c>
    </row>
    <row r="307" spans="1:7" x14ac:dyDescent="0.2">
      <c r="A307" s="110">
        <v>5330</v>
      </c>
      <c r="B307" t="s">
        <v>360</v>
      </c>
      <c r="C307" s="111">
        <v>44634</v>
      </c>
      <c r="D307" t="s">
        <v>527</v>
      </c>
      <c r="E307" t="s">
        <v>10</v>
      </c>
      <c r="F307" t="s">
        <v>519</v>
      </c>
      <c r="G307" s="73" t="s">
        <v>411</v>
      </c>
    </row>
    <row r="308" spans="1:7" x14ac:dyDescent="0.2">
      <c r="A308" s="110">
        <v>5333</v>
      </c>
      <c r="B308" t="s">
        <v>361</v>
      </c>
      <c r="C308" s="111">
        <v>44641</v>
      </c>
      <c r="D308" t="s">
        <v>527</v>
      </c>
      <c r="E308" t="s">
        <v>54</v>
      </c>
      <c r="F308" t="s">
        <v>519</v>
      </c>
      <c r="G308" s="73" t="s">
        <v>411</v>
      </c>
    </row>
    <row r="309" spans="1:7" x14ac:dyDescent="0.2">
      <c r="A309" s="110">
        <v>5334</v>
      </c>
      <c r="B309" t="s">
        <v>362</v>
      </c>
      <c r="C309" s="111">
        <v>44641</v>
      </c>
      <c r="D309" t="s">
        <v>536</v>
      </c>
      <c r="E309" t="s">
        <v>46</v>
      </c>
      <c r="F309" t="s">
        <v>519</v>
      </c>
      <c r="G309" s="73" t="s">
        <v>411</v>
      </c>
    </row>
    <row r="310" spans="1:7" x14ac:dyDescent="0.2">
      <c r="A310" s="110">
        <v>5335</v>
      </c>
      <c r="B310" t="s">
        <v>363</v>
      </c>
      <c r="C310" s="111">
        <v>44641</v>
      </c>
      <c r="D310" t="s">
        <v>527</v>
      </c>
      <c r="E310" t="s">
        <v>10</v>
      </c>
      <c r="F310" t="s">
        <v>519</v>
      </c>
      <c r="G310" s="73" t="s">
        <v>411</v>
      </c>
    </row>
    <row r="311" spans="1:7" x14ac:dyDescent="0.2">
      <c r="A311" s="110">
        <v>5336</v>
      </c>
      <c r="B311" t="s">
        <v>364</v>
      </c>
      <c r="C311" s="111">
        <v>44641</v>
      </c>
      <c r="D311" t="s">
        <v>527</v>
      </c>
      <c r="E311" t="s">
        <v>10</v>
      </c>
      <c r="F311" t="s">
        <v>519</v>
      </c>
      <c r="G311" s="73" t="s">
        <v>411</v>
      </c>
    </row>
    <row r="312" spans="1:7" x14ac:dyDescent="0.2">
      <c r="A312" s="110">
        <v>5337</v>
      </c>
      <c r="B312" t="s">
        <v>365</v>
      </c>
      <c r="C312" s="111">
        <v>44641</v>
      </c>
      <c r="D312" t="s">
        <v>527</v>
      </c>
      <c r="E312" t="s">
        <v>10</v>
      </c>
      <c r="F312" t="s">
        <v>519</v>
      </c>
      <c r="G312" s="73" t="s">
        <v>411</v>
      </c>
    </row>
    <row r="313" spans="1:7" x14ac:dyDescent="0.2">
      <c r="A313" s="110">
        <v>5338</v>
      </c>
      <c r="B313" t="s">
        <v>366</v>
      </c>
      <c r="C313" s="111">
        <v>44641</v>
      </c>
      <c r="D313" t="s">
        <v>527</v>
      </c>
      <c r="E313" t="s">
        <v>61</v>
      </c>
      <c r="F313" t="s">
        <v>519</v>
      </c>
      <c r="G313" s="73" t="s">
        <v>411</v>
      </c>
    </row>
    <row r="314" spans="1:7" x14ac:dyDescent="0.2">
      <c r="A314" s="110">
        <v>5339</v>
      </c>
      <c r="B314" t="s">
        <v>367</v>
      </c>
      <c r="C314" s="111">
        <v>44641</v>
      </c>
      <c r="D314" t="s">
        <v>527</v>
      </c>
      <c r="E314" t="s">
        <v>86</v>
      </c>
      <c r="F314" t="s">
        <v>519</v>
      </c>
      <c r="G314" s="73" t="s">
        <v>411</v>
      </c>
    </row>
    <row r="315" spans="1:7" x14ac:dyDescent="0.2">
      <c r="A315" s="110">
        <v>5340</v>
      </c>
      <c r="B315" t="s">
        <v>368</v>
      </c>
      <c r="C315" s="111">
        <v>44641</v>
      </c>
      <c r="D315" t="s">
        <v>527</v>
      </c>
      <c r="E315" t="s">
        <v>86</v>
      </c>
      <c r="F315" t="s">
        <v>519</v>
      </c>
      <c r="G315" s="73" t="s">
        <v>411</v>
      </c>
    </row>
    <row r="316" spans="1:7" x14ac:dyDescent="0.2">
      <c r="A316" s="110">
        <v>5360</v>
      </c>
      <c r="B316" t="s">
        <v>540</v>
      </c>
      <c r="C316" s="111">
        <v>44655</v>
      </c>
      <c r="D316" t="s">
        <v>527</v>
      </c>
      <c r="E316" t="s">
        <v>54</v>
      </c>
      <c r="F316" t="s">
        <v>519</v>
      </c>
      <c r="G316" s="73" t="s">
        <v>411</v>
      </c>
    </row>
    <row r="317" spans="1:7" x14ac:dyDescent="0.2">
      <c r="A317" s="110">
        <v>5361</v>
      </c>
      <c r="B317" t="s">
        <v>541</v>
      </c>
      <c r="C317" s="111">
        <v>44655</v>
      </c>
      <c r="D317" t="s">
        <v>536</v>
      </c>
      <c r="E317" t="s">
        <v>46</v>
      </c>
      <c r="F317" t="s">
        <v>519</v>
      </c>
      <c r="G317" s="73" t="s">
        <v>411</v>
      </c>
    </row>
    <row r="318" spans="1:7" x14ac:dyDescent="0.2">
      <c r="A318" s="110">
        <v>5367</v>
      </c>
      <c r="B318" t="s">
        <v>542</v>
      </c>
      <c r="C318" s="111">
        <v>44662</v>
      </c>
      <c r="D318" t="s">
        <v>537</v>
      </c>
      <c r="E318" t="s">
        <v>543</v>
      </c>
      <c r="F318" t="s">
        <v>519</v>
      </c>
      <c r="G318" s="73" t="s">
        <v>411</v>
      </c>
    </row>
    <row r="319" spans="1:7" x14ac:dyDescent="0.2">
      <c r="A319" s="110">
        <v>5368</v>
      </c>
      <c r="B319" t="s">
        <v>544</v>
      </c>
      <c r="C319" s="111">
        <v>44662</v>
      </c>
      <c r="D319" t="s">
        <v>527</v>
      </c>
      <c r="E319" t="s">
        <v>54</v>
      </c>
      <c r="F319" t="s">
        <v>519</v>
      </c>
      <c r="G319" s="73" t="s">
        <v>411</v>
      </c>
    </row>
    <row r="320" spans="1:7" x14ac:dyDescent="0.2">
      <c r="A320" s="110">
        <v>5370</v>
      </c>
      <c r="B320" t="s">
        <v>545</v>
      </c>
      <c r="C320" s="111">
        <v>44662</v>
      </c>
      <c r="D320" t="s">
        <v>535</v>
      </c>
      <c r="E320" t="s">
        <v>104</v>
      </c>
      <c r="F320" t="s">
        <v>519</v>
      </c>
      <c r="G320" s="73" t="s">
        <v>411</v>
      </c>
    </row>
    <row r="321" spans="1:7" x14ac:dyDescent="0.2">
      <c r="A321" s="110">
        <v>5371</v>
      </c>
      <c r="B321" t="s">
        <v>546</v>
      </c>
      <c r="C321" s="111">
        <v>44662</v>
      </c>
      <c r="D321" t="s">
        <v>537</v>
      </c>
      <c r="E321" t="s">
        <v>543</v>
      </c>
      <c r="F321" t="s">
        <v>519</v>
      </c>
      <c r="G321" s="73" t="s">
        <v>411</v>
      </c>
    </row>
    <row r="322" spans="1:7" x14ac:dyDescent="0.2">
      <c r="A322" s="110">
        <v>5372</v>
      </c>
      <c r="B322" t="s">
        <v>547</v>
      </c>
      <c r="C322" s="111">
        <v>44662</v>
      </c>
      <c r="D322" t="s">
        <v>535</v>
      </c>
      <c r="E322" t="s">
        <v>104</v>
      </c>
      <c r="F322" t="s">
        <v>519</v>
      </c>
      <c r="G322" s="73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76A2-21A6-4F8B-A7A0-C9DA6033F3C6}">
  <sheetPr codeName="Sayfa1"/>
  <dimension ref="A1:K24"/>
  <sheetViews>
    <sheetView workbookViewId="0">
      <selection activeCell="E12" sqref="E12"/>
    </sheetView>
  </sheetViews>
  <sheetFormatPr defaultRowHeight="12.75" x14ac:dyDescent="0.2"/>
  <cols>
    <col min="1" max="1" width="10.42578125" bestFit="1" customWidth="1"/>
    <col min="5" max="5" width="18.140625" bestFit="1" customWidth="1"/>
    <col min="6" max="6" width="10.5703125" bestFit="1" customWidth="1"/>
  </cols>
  <sheetData>
    <row r="1" spans="1:11" ht="15.75" thickBot="1" x14ac:dyDescent="0.3">
      <c r="A1" s="7" t="s">
        <v>394</v>
      </c>
      <c r="B1" s="8" t="s">
        <v>395</v>
      </c>
      <c r="C1" s="9"/>
    </row>
    <row r="2" spans="1:11" x14ac:dyDescent="0.2">
      <c r="A2" s="10" t="s">
        <v>373</v>
      </c>
      <c r="B2" s="11">
        <v>0.12</v>
      </c>
      <c r="C2" s="136">
        <v>0.5</v>
      </c>
    </row>
    <row r="3" spans="1:11" x14ac:dyDescent="0.2">
      <c r="A3" s="12" t="s">
        <v>375</v>
      </c>
      <c r="B3" s="13">
        <v>0.1</v>
      </c>
      <c r="C3" s="137"/>
    </row>
    <row r="4" spans="1:11" x14ac:dyDescent="0.2">
      <c r="A4" s="12" t="s">
        <v>377</v>
      </c>
      <c r="B4" s="13">
        <v>0.08</v>
      </c>
      <c r="C4" s="137"/>
    </row>
    <row r="5" spans="1:11" x14ac:dyDescent="0.2">
      <c r="A5" s="14" t="s">
        <v>381</v>
      </c>
      <c r="B5" s="13">
        <v>0.1</v>
      </c>
      <c r="C5" s="137"/>
    </row>
    <row r="6" spans="1:11" ht="13.5" thickBot="1" x14ac:dyDescent="0.25">
      <c r="A6" s="15" t="s">
        <v>379</v>
      </c>
      <c r="B6" s="16">
        <v>0.1</v>
      </c>
      <c r="C6" s="138"/>
    </row>
    <row r="7" spans="1:11" x14ac:dyDescent="0.2">
      <c r="A7" s="10" t="s">
        <v>396</v>
      </c>
      <c r="B7" s="11">
        <v>0.35</v>
      </c>
      <c r="C7" s="136">
        <v>0.5</v>
      </c>
    </row>
    <row r="8" spans="1:11" ht="13.5" thickBot="1" x14ac:dyDescent="0.25">
      <c r="A8" s="17" t="s">
        <v>388</v>
      </c>
      <c r="B8" s="16">
        <v>0.15</v>
      </c>
      <c r="C8" s="138"/>
    </row>
    <row r="10" spans="1:11" x14ac:dyDescent="0.2">
      <c r="A10" s="9"/>
      <c r="B10" s="9"/>
      <c r="C10" s="9"/>
      <c r="D10" s="9"/>
      <c r="E10" s="9"/>
      <c r="F10" s="9"/>
      <c r="G10" s="9"/>
    </row>
    <row r="11" spans="1:11" x14ac:dyDescent="0.2">
      <c r="A11" s="139" t="s">
        <v>397</v>
      </c>
      <c r="B11" s="139"/>
      <c r="C11" s="139"/>
      <c r="D11" s="9"/>
      <c r="E11" s="139" t="s">
        <v>398</v>
      </c>
      <c r="F11" s="139"/>
      <c r="G11" s="139"/>
    </row>
    <row r="12" spans="1:11" x14ac:dyDescent="0.2">
      <c r="A12" s="18" t="s">
        <v>399</v>
      </c>
      <c r="B12" s="19" t="s">
        <v>400</v>
      </c>
      <c r="C12" s="19" t="s">
        <v>401</v>
      </c>
      <c r="D12" s="9"/>
      <c r="E12" s="18" t="s">
        <v>399</v>
      </c>
      <c r="F12" s="19" t="s">
        <v>400</v>
      </c>
      <c r="G12" s="19" t="s">
        <v>401</v>
      </c>
    </row>
    <row r="13" spans="1:11" x14ac:dyDescent="0.2">
      <c r="A13" s="20">
        <v>1</v>
      </c>
      <c r="B13" s="21" t="s">
        <v>402</v>
      </c>
      <c r="C13" s="22">
        <v>0</v>
      </c>
      <c r="D13" s="9"/>
      <c r="E13" s="20">
        <v>1</v>
      </c>
      <c r="F13" s="21" t="s">
        <v>403</v>
      </c>
      <c r="G13" s="22">
        <v>1</v>
      </c>
    </row>
    <row r="14" spans="1:11" x14ac:dyDescent="0.2">
      <c r="A14" s="20">
        <v>2</v>
      </c>
      <c r="B14" s="21" t="s">
        <v>404</v>
      </c>
      <c r="C14" s="22">
        <v>0</v>
      </c>
      <c r="D14" s="9"/>
      <c r="E14" s="20">
        <v>2</v>
      </c>
      <c r="F14" s="21" t="s">
        <v>405</v>
      </c>
      <c r="G14" s="22">
        <v>1.232</v>
      </c>
      <c r="K14">
        <f>C17/C16</f>
        <v>1.3703703703703705</v>
      </c>
    </row>
    <row r="15" spans="1:11" x14ac:dyDescent="0.2">
      <c r="A15" s="20">
        <v>3</v>
      </c>
      <c r="B15" s="21" t="s">
        <v>406</v>
      </c>
      <c r="C15" s="22">
        <v>0</v>
      </c>
      <c r="D15" s="9"/>
      <c r="E15" s="20">
        <v>3</v>
      </c>
      <c r="F15" s="21" t="s">
        <v>407</v>
      </c>
      <c r="G15" s="22">
        <v>1.1499999999999999</v>
      </c>
    </row>
    <row r="16" spans="1:11" x14ac:dyDescent="0.2">
      <c r="A16" s="20">
        <v>4</v>
      </c>
      <c r="B16" s="21" t="s">
        <v>408</v>
      </c>
      <c r="C16" s="22">
        <v>13.5</v>
      </c>
      <c r="D16" s="9"/>
      <c r="E16" s="20">
        <v>4</v>
      </c>
      <c r="F16" s="21" t="s">
        <v>409</v>
      </c>
      <c r="G16" s="22">
        <v>1.077</v>
      </c>
    </row>
    <row r="17" spans="1:7" x14ac:dyDescent="0.2">
      <c r="A17" s="20">
        <v>5</v>
      </c>
      <c r="B17" s="21" t="s">
        <v>410</v>
      </c>
      <c r="C17" s="22">
        <v>18.5</v>
      </c>
      <c r="D17" s="9"/>
      <c r="E17" s="20">
        <v>5</v>
      </c>
      <c r="F17" s="21" t="s">
        <v>411</v>
      </c>
      <c r="G17" s="22">
        <v>1</v>
      </c>
    </row>
    <row r="18" spans="1:7" x14ac:dyDescent="0.2">
      <c r="A18" s="9"/>
      <c r="B18" s="9"/>
      <c r="C18" s="9"/>
      <c r="D18" s="9"/>
      <c r="E18" s="23">
        <v>6</v>
      </c>
      <c r="F18" s="24" t="s">
        <v>412</v>
      </c>
      <c r="G18" s="22">
        <v>1.2869999999999999</v>
      </c>
    </row>
    <row r="19" spans="1:7" x14ac:dyDescent="0.2">
      <c r="A19" s="9"/>
      <c r="B19" s="9"/>
      <c r="C19" s="9"/>
      <c r="D19" s="9"/>
      <c r="E19" s="23">
        <v>7</v>
      </c>
      <c r="F19" s="24" t="s">
        <v>413</v>
      </c>
      <c r="G19" s="22">
        <v>1.19</v>
      </c>
    </row>
    <row r="20" spans="1:7" x14ac:dyDescent="0.2">
      <c r="A20" s="9"/>
      <c r="B20" s="9"/>
      <c r="C20" s="9"/>
      <c r="D20" s="9"/>
      <c r="E20" s="23">
        <v>8</v>
      </c>
      <c r="F20" s="24" t="s">
        <v>414</v>
      </c>
      <c r="G20" s="22">
        <v>1</v>
      </c>
    </row>
    <row r="21" spans="1:7" x14ac:dyDescent="0.2">
      <c r="A21" s="9"/>
      <c r="B21" s="9"/>
      <c r="C21" s="9"/>
      <c r="D21" s="9"/>
      <c r="E21" s="23">
        <v>9</v>
      </c>
      <c r="F21" s="24" t="s">
        <v>415</v>
      </c>
      <c r="G21" s="22">
        <v>1</v>
      </c>
    </row>
    <row r="22" spans="1:7" x14ac:dyDescent="0.2">
      <c r="A22" s="9"/>
      <c r="B22" s="9"/>
      <c r="C22" s="9"/>
      <c r="D22" s="9"/>
      <c r="E22" s="23">
        <v>10</v>
      </c>
      <c r="F22" s="24" t="s">
        <v>416</v>
      </c>
      <c r="G22" s="22">
        <v>1.3779999999999999</v>
      </c>
    </row>
    <row r="23" spans="1:7" x14ac:dyDescent="0.2">
      <c r="A23" s="9"/>
      <c r="B23" s="9"/>
      <c r="C23" s="9"/>
      <c r="D23" s="9"/>
      <c r="E23" s="23">
        <v>11</v>
      </c>
      <c r="F23" s="24" t="s">
        <v>417</v>
      </c>
      <c r="G23" s="22">
        <v>1.157</v>
      </c>
    </row>
    <row r="24" spans="1:7" x14ac:dyDescent="0.2">
      <c r="A24" s="9"/>
      <c r="B24" s="9"/>
      <c r="C24" s="9"/>
      <c r="D24" s="9"/>
      <c r="E24" s="23">
        <v>12</v>
      </c>
      <c r="F24" s="24" t="s">
        <v>418</v>
      </c>
      <c r="G24" s="22">
        <v>1</v>
      </c>
    </row>
  </sheetData>
  <mergeCells count="4">
    <mergeCell ref="C2:C6"/>
    <mergeCell ref="C7:C8"/>
    <mergeCell ref="A11:C11"/>
    <mergeCell ref="E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EBC9-BDCA-4B3A-95CB-78600C8746A3}">
  <sheetPr codeName="Sayfa2"/>
  <dimension ref="A1:N111"/>
  <sheetViews>
    <sheetView topLeftCell="B1" zoomScale="133" workbookViewId="0">
      <pane ySplit="1" topLeftCell="A2" activePane="bottomLeft" state="frozen"/>
      <selection pane="bottomLeft" activeCell="H1" sqref="H1:H1048576"/>
    </sheetView>
  </sheetViews>
  <sheetFormatPr defaultRowHeight="12.75" x14ac:dyDescent="0.2"/>
  <cols>
    <col min="1" max="1" width="11.140625" customWidth="1"/>
    <col min="2" max="2" width="22.140625" bestFit="1" customWidth="1"/>
    <col min="3" max="3" width="9.85546875" bestFit="1" customWidth="1"/>
    <col min="4" max="4" width="6.5703125" customWidth="1"/>
    <col min="5" max="5" width="10.5703125" customWidth="1"/>
    <col min="6" max="6" width="15.85546875" customWidth="1"/>
    <col min="7" max="7" width="11.85546875" customWidth="1"/>
    <col min="8" max="8" width="12.140625" bestFit="1" customWidth="1"/>
    <col min="9" max="9" width="11.42578125" bestFit="1" customWidth="1"/>
    <col min="10" max="10" width="13.85546875" bestFit="1" customWidth="1"/>
    <col min="11" max="11" width="13.140625" bestFit="1" customWidth="1"/>
    <col min="12" max="12" width="9.42578125" customWidth="1"/>
    <col min="13" max="13" width="14.85546875" customWidth="1"/>
    <col min="14" max="14" width="17.42578125" bestFit="1" customWidth="1"/>
    <col min="15" max="15" width="12.5703125" customWidth="1"/>
  </cols>
  <sheetData>
    <row r="1" spans="1:14" ht="15" x14ac:dyDescent="0.25">
      <c r="A1" s="26" t="s">
        <v>438</v>
      </c>
      <c r="B1" s="26" t="s">
        <v>439</v>
      </c>
      <c r="C1" s="26" t="s">
        <v>447</v>
      </c>
      <c r="D1" s="26" t="s">
        <v>448</v>
      </c>
      <c r="E1" s="26" t="s">
        <v>449</v>
      </c>
      <c r="F1" s="27" t="s">
        <v>450</v>
      </c>
      <c r="G1" s="27" t="s">
        <v>451</v>
      </c>
      <c r="H1" s="26" t="s">
        <v>440</v>
      </c>
      <c r="I1" s="26" t="s">
        <v>444</v>
      </c>
      <c r="J1" s="26" t="s">
        <v>445</v>
      </c>
      <c r="K1" s="26" t="s">
        <v>446</v>
      </c>
      <c r="L1" s="39" t="s">
        <v>459</v>
      </c>
      <c r="M1" s="39" t="s">
        <v>460</v>
      </c>
      <c r="N1" s="39" t="s">
        <v>487</v>
      </c>
    </row>
    <row r="2" spans="1:14" x14ac:dyDescent="0.2">
      <c r="A2" s="20">
        <v>64</v>
      </c>
      <c r="B2" s="20" t="s">
        <v>13</v>
      </c>
      <c r="C2" s="20"/>
      <c r="D2" s="20"/>
      <c r="E2" s="20"/>
      <c r="F2" s="20">
        <f>C2+D2+E2</f>
        <v>0</v>
      </c>
      <c r="G2" s="28">
        <f>F2/90</f>
        <v>0</v>
      </c>
      <c r="H2" s="20"/>
      <c r="I2" s="20">
        <v>5</v>
      </c>
      <c r="J2" s="20"/>
      <c r="K2" s="20"/>
      <c r="L2" s="33">
        <f t="shared" ref="L2:L33" si="0">C2+D2+E2+H2+I2+J2+K2</f>
        <v>5</v>
      </c>
      <c r="M2" s="40">
        <f>(N2-L2)/N2</f>
        <v>0.94444444444444442</v>
      </c>
      <c r="N2" s="33">
        <f>IFERROR(VLOOKUP(A2,Sonuç!A:D,4,1),0)</f>
        <v>90</v>
      </c>
    </row>
    <row r="3" spans="1:14" x14ac:dyDescent="0.2">
      <c r="A3" s="20">
        <v>73</v>
      </c>
      <c r="B3" s="20" t="s">
        <v>16</v>
      </c>
      <c r="C3" s="20"/>
      <c r="D3" s="20">
        <v>6</v>
      </c>
      <c r="E3" s="20"/>
      <c r="F3" s="20">
        <f t="shared" ref="F3:F66" si="1">C3+D3+E3</f>
        <v>6</v>
      </c>
      <c r="G3" s="28">
        <f t="shared" ref="G3:G66" si="2">F3/90</f>
        <v>6.6666666666666666E-2</v>
      </c>
      <c r="H3" s="20"/>
      <c r="I3" s="20"/>
      <c r="J3" s="20"/>
      <c r="K3" s="20"/>
      <c r="L3" s="33">
        <f t="shared" si="0"/>
        <v>6</v>
      </c>
      <c r="M3" s="40">
        <f t="shared" ref="M3:M66" si="3">(N3-L3)/N3</f>
        <v>0.93333333333333335</v>
      </c>
      <c r="N3" s="33">
        <f>IFERROR(VLOOKUP(A3,Sonuç!A:D,4,1),0)</f>
        <v>90</v>
      </c>
    </row>
    <row r="4" spans="1:14" x14ac:dyDescent="0.2">
      <c r="A4" s="20">
        <v>88</v>
      </c>
      <c r="B4" s="20" t="s">
        <v>23</v>
      </c>
      <c r="C4" s="20"/>
      <c r="D4" s="20">
        <v>7</v>
      </c>
      <c r="E4" s="20"/>
      <c r="F4" s="20">
        <f t="shared" si="1"/>
        <v>7</v>
      </c>
      <c r="G4" s="28">
        <f t="shared" si="2"/>
        <v>7.7777777777777779E-2</v>
      </c>
      <c r="H4" s="20"/>
      <c r="I4" s="20"/>
      <c r="J4" s="20"/>
      <c r="K4" s="20"/>
      <c r="L4" s="33">
        <f t="shared" si="0"/>
        <v>7</v>
      </c>
      <c r="M4" s="40">
        <f t="shared" si="3"/>
        <v>0.92222222222222228</v>
      </c>
      <c r="N4" s="33">
        <f>IFERROR(VLOOKUP(A4,Sonuç!A:D,4,1),0)</f>
        <v>90</v>
      </c>
    </row>
    <row r="5" spans="1:14" x14ac:dyDescent="0.2">
      <c r="A5" s="20">
        <v>104</v>
      </c>
      <c r="B5" s="20" t="s">
        <v>29</v>
      </c>
      <c r="C5" s="20"/>
      <c r="D5" s="20"/>
      <c r="E5" s="20"/>
      <c r="F5" s="20">
        <f t="shared" si="1"/>
        <v>0</v>
      </c>
      <c r="G5" s="28">
        <f t="shared" si="2"/>
        <v>0</v>
      </c>
      <c r="H5" s="20"/>
      <c r="I5" s="20">
        <v>7</v>
      </c>
      <c r="J5" s="20"/>
      <c r="K5" s="20"/>
      <c r="L5" s="33">
        <f t="shared" si="0"/>
        <v>7</v>
      </c>
      <c r="M5" s="40">
        <f t="shared" si="3"/>
        <v>0.92222222222222228</v>
      </c>
      <c r="N5" s="33">
        <f>IFERROR(VLOOKUP(A5,Sonuç!A:D,4,1),0)</f>
        <v>90</v>
      </c>
    </row>
    <row r="6" spans="1:14" x14ac:dyDescent="0.2">
      <c r="A6" s="20">
        <v>108</v>
      </c>
      <c r="B6" s="20" t="s">
        <v>32</v>
      </c>
      <c r="C6" s="20"/>
      <c r="D6" s="20">
        <v>6</v>
      </c>
      <c r="E6" s="20"/>
      <c r="F6" s="20">
        <f t="shared" si="1"/>
        <v>6</v>
      </c>
      <c r="G6" s="28">
        <f t="shared" si="2"/>
        <v>6.6666666666666666E-2</v>
      </c>
      <c r="H6" s="20"/>
      <c r="I6" s="20"/>
      <c r="J6" s="20"/>
      <c r="K6" s="20"/>
      <c r="L6" s="33">
        <f t="shared" si="0"/>
        <v>6</v>
      </c>
      <c r="M6" s="40">
        <f t="shared" si="3"/>
        <v>0.93333333333333335</v>
      </c>
      <c r="N6" s="33">
        <f>IFERROR(VLOOKUP(A6,Sonuç!A:D,4,1),0)</f>
        <v>90</v>
      </c>
    </row>
    <row r="7" spans="1:14" x14ac:dyDescent="0.2">
      <c r="A7" s="20">
        <v>112</v>
      </c>
      <c r="B7" s="20" t="s">
        <v>35</v>
      </c>
      <c r="C7" s="20"/>
      <c r="D7" s="20">
        <v>7</v>
      </c>
      <c r="E7" s="20"/>
      <c r="F7" s="20">
        <f t="shared" si="1"/>
        <v>7</v>
      </c>
      <c r="G7" s="28">
        <f t="shared" si="2"/>
        <v>7.7777777777777779E-2</v>
      </c>
      <c r="H7" s="20"/>
      <c r="I7" s="20"/>
      <c r="J7" s="20"/>
      <c r="K7" s="20"/>
      <c r="L7" s="33">
        <f t="shared" si="0"/>
        <v>7</v>
      </c>
      <c r="M7" s="40">
        <f t="shared" si="3"/>
        <v>0.92222222222222228</v>
      </c>
      <c r="N7" s="33">
        <f>IFERROR(VLOOKUP(A7,Sonuç!A:D,4,1),0)</f>
        <v>90</v>
      </c>
    </row>
    <row r="8" spans="1:14" x14ac:dyDescent="0.2">
      <c r="A8" s="20">
        <v>125</v>
      </c>
      <c r="B8" s="20" t="s">
        <v>43</v>
      </c>
      <c r="C8" s="20"/>
      <c r="D8" s="20">
        <v>7</v>
      </c>
      <c r="E8" s="20"/>
      <c r="F8" s="20">
        <f t="shared" si="1"/>
        <v>7</v>
      </c>
      <c r="G8" s="28">
        <f t="shared" si="2"/>
        <v>7.7777777777777779E-2</v>
      </c>
      <c r="H8" s="20"/>
      <c r="I8" s="20"/>
      <c r="J8" s="20"/>
      <c r="K8" s="20"/>
      <c r="L8" s="33">
        <f t="shared" si="0"/>
        <v>7</v>
      </c>
      <c r="M8" s="40">
        <f t="shared" si="3"/>
        <v>0.92222222222222228</v>
      </c>
      <c r="N8" s="33">
        <f>IFERROR(VLOOKUP(A8,Sonuç!A:D,4,1),0)</f>
        <v>90</v>
      </c>
    </row>
    <row r="9" spans="1:14" x14ac:dyDescent="0.2">
      <c r="A9" s="20">
        <v>135</v>
      </c>
      <c r="B9" s="20" t="s">
        <v>49</v>
      </c>
      <c r="C9" s="20"/>
      <c r="D9" s="20">
        <v>7</v>
      </c>
      <c r="E9" s="20"/>
      <c r="F9" s="20">
        <f t="shared" si="1"/>
        <v>7</v>
      </c>
      <c r="G9" s="28">
        <f t="shared" si="2"/>
        <v>7.7777777777777779E-2</v>
      </c>
      <c r="H9" s="20"/>
      <c r="I9" s="20"/>
      <c r="J9" s="20"/>
      <c r="K9" s="20"/>
      <c r="L9" s="33">
        <f t="shared" si="0"/>
        <v>7</v>
      </c>
      <c r="M9" s="40">
        <f t="shared" si="3"/>
        <v>0.92222222222222228</v>
      </c>
      <c r="N9" s="33">
        <f>IFERROR(VLOOKUP(A9,Sonuç!A:D,4,1),0)</f>
        <v>90</v>
      </c>
    </row>
    <row r="10" spans="1:14" x14ac:dyDescent="0.2">
      <c r="A10" s="20">
        <v>248</v>
      </c>
      <c r="B10" s="20" t="s">
        <v>70</v>
      </c>
      <c r="C10" s="20"/>
      <c r="D10" s="20">
        <v>7</v>
      </c>
      <c r="E10" s="20"/>
      <c r="F10" s="20">
        <f t="shared" si="1"/>
        <v>7</v>
      </c>
      <c r="G10" s="28">
        <f t="shared" si="2"/>
        <v>7.7777777777777779E-2</v>
      </c>
      <c r="H10" s="20"/>
      <c r="I10" s="20"/>
      <c r="J10" s="20"/>
      <c r="K10" s="20"/>
      <c r="L10" s="33">
        <f t="shared" si="0"/>
        <v>7</v>
      </c>
      <c r="M10" s="40">
        <f t="shared" si="3"/>
        <v>0.92222222222222228</v>
      </c>
      <c r="N10" s="33">
        <f>IFERROR(VLOOKUP(A10,Sonuç!A:D,4,1),0)</f>
        <v>90</v>
      </c>
    </row>
    <row r="11" spans="1:14" x14ac:dyDescent="0.2">
      <c r="A11" s="20">
        <v>317</v>
      </c>
      <c r="B11" s="20" t="s">
        <v>82</v>
      </c>
      <c r="C11" s="20"/>
      <c r="D11" s="20">
        <v>7</v>
      </c>
      <c r="E11" s="20"/>
      <c r="F11" s="20">
        <f t="shared" si="1"/>
        <v>7</v>
      </c>
      <c r="G11" s="28">
        <f t="shared" si="2"/>
        <v>7.7777777777777779E-2</v>
      </c>
      <c r="H11" s="20"/>
      <c r="I11" s="20"/>
      <c r="J11" s="20"/>
      <c r="K11" s="20"/>
      <c r="L11" s="33">
        <f t="shared" si="0"/>
        <v>7</v>
      </c>
      <c r="M11" s="40">
        <f t="shared" si="3"/>
        <v>0.92222222222222228</v>
      </c>
      <c r="N11" s="33">
        <f>IFERROR(VLOOKUP(A11,Sonuç!A:D,4,1),0)</f>
        <v>90</v>
      </c>
    </row>
    <row r="12" spans="1:14" x14ac:dyDescent="0.2">
      <c r="A12" s="20">
        <v>340</v>
      </c>
      <c r="B12" s="20" t="s">
        <v>85</v>
      </c>
      <c r="C12" s="20"/>
      <c r="D12" s="20">
        <v>7</v>
      </c>
      <c r="E12" s="20"/>
      <c r="F12" s="20">
        <f t="shared" si="1"/>
        <v>7</v>
      </c>
      <c r="G12" s="28">
        <f t="shared" si="2"/>
        <v>7.7777777777777779E-2</v>
      </c>
      <c r="H12" s="20"/>
      <c r="I12" s="20"/>
      <c r="J12" s="20"/>
      <c r="K12" s="20"/>
      <c r="L12" s="33">
        <f t="shared" si="0"/>
        <v>7</v>
      </c>
      <c r="M12" s="40">
        <f t="shared" si="3"/>
        <v>0.92222222222222228</v>
      </c>
      <c r="N12" s="33">
        <f>IFERROR(VLOOKUP(A12,Sonuç!A:D,4,1),0)</f>
        <v>90</v>
      </c>
    </row>
    <row r="13" spans="1:14" x14ac:dyDescent="0.2">
      <c r="A13" s="20">
        <v>380</v>
      </c>
      <c r="B13" s="20" t="s">
        <v>88</v>
      </c>
      <c r="C13" s="20"/>
      <c r="D13" s="20">
        <v>7</v>
      </c>
      <c r="E13" s="20"/>
      <c r="F13" s="20">
        <f t="shared" si="1"/>
        <v>7</v>
      </c>
      <c r="G13" s="28">
        <f t="shared" si="2"/>
        <v>7.7777777777777779E-2</v>
      </c>
      <c r="H13" s="20"/>
      <c r="I13" s="20"/>
      <c r="J13" s="20"/>
      <c r="K13" s="20">
        <v>1</v>
      </c>
      <c r="L13" s="33">
        <f t="shared" si="0"/>
        <v>8</v>
      </c>
      <c r="M13" s="40">
        <f t="shared" si="3"/>
        <v>0.91111111111111109</v>
      </c>
      <c r="N13" s="33">
        <f>IFERROR(VLOOKUP(A13,Sonuç!A:D,4,1),0)</f>
        <v>90</v>
      </c>
    </row>
    <row r="14" spans="1:14" x14ac:dyDescent="0.2">
      <c r="A14" s="20">
        <v>417</v>
      </c>
      <c r="B14" s="20" t="s">
        <v>91</v>
      </c>
      <c r="C14" s="20"/>
      <c r="D14" s="20"/>
      <c r="E14" s="20"/>
      <c r="F14" s="20">
        <f t="shared" si="1"/>
        <v>0</v>
      </c>
      <c r="G14" s="28">
        <f t="shared" si="2"/>
        <v>0</v>
      </c>
      <c r="H14" s="20"/>
      <c r="I14" s="20">
        <v>3</v>
      </c>
      <c r="J14" s="20"/>
      <c r="K14" s="20"/>
      <c r="L14" s="33">
        <f t="shared" si="0"/>
        <v>3</v>
      </c>
      <c r="M14" s="40">
        <f t="shared" si="3"/>
        <v>0.96666666666666667</v>
      </c>
      <c r="N14" s="33">
        <f>IFERROR(VLOOKUP(A14,Sonuç!A:D,4,1),0)</f>
        <v>90</v>
      </c>
    </row>
    <row r="15" spans="1:14" x14ac:dyDescent="0.2">
      <c r="A15" s="20">
        <v>2041</v>
      </c>
      <c r="B15" s="20" t="s">
        <v>111</v>
      </c>
      <c r="C15" s="20"/>
      <c r="D15" s="20">
        <v>6</v>
      </c>
      <c r="E15" s="20"/>
      <c r="F15" s="20">
        <f t="shared" si="1"/>
        <v>6</v>
      </c>
      <c r="G15" s="28">
        <f t="shared" si="2"/>
        <v>6.6666666666666666E-2</v>
      </c>
      <c r="H15" s="20"/>
      <c r="I15" s="20"/>
      <c r="J15" s="20"/>
      <c r="K15" s="20"/>
      <c r="L15" s="33">
        <f t="shared" si="0"/>
        <v>6</v>
      </c>
      <c r="M15" s="40">
        <f t="shared" si="3"/>
        <v>0.93333333333333335</v>
      </c>
      <c r="N15" s="33">
        <f>IFERROR(VLOOKUP(A15,Sonuç!A:D,4,1),0)</f>
        <v>90</v>
      </c>
    </row>
    <row r="16" spans="1:14" x14ac:dyDescent="0.2">
      <c r="A16" s="20">
        <v>2154</v>
      </c>
      <c r="B16" s="20" t="s">
        <v>114</v>
      </c>
      <c r="C16" s="20">
        <v>43</v>
      </c>
      <c r="D16" s="20"/>
      <c r="E16" s="20"/>
      <c r="F16" s="20">
        <f t="shared" si="1"/>
        <v>43</v>
      </c>
      <c r="G16" s="28">
        <f t="shared" si="2"/>
        <v>0.4777777777777778</v>
      </c>
      <c r="H16" s="20"/>
      <c r="I16" s="20"/>
      <c r="J16" s="20"/>
      <c r="K16" s="20"/>
      <c r="L16" s="33">
        <f t="shared" si="0"/>
        <v>43</v>
      </c>
      <c r="M16" s="40">
        <f t="shared" si="3"/>
        <v>0.52222222222222225</v>
      </c>
      <c r="N16" s="33">
        <f>IFERROR(VLOOKUP(A16,Sonuç!A:D,4,1),0)</f>
        <v>90</v>
      </c>
    </row>
    <row r="17" spans="1:14" x14ac:dyDescent="0.2">
      <c r="A17" s="20">
        <v>2280</v>
      </c>
      <c r="B17" s="20" t="s">
        <v>117</v>
      </c>
      <c r="C17" s="20"/>
      <c r="D17" s="20"/>
      <c r="E17" s="20"/>
      <c r="F17" s="20">
        <f t="shared" si="1"/>
        <v>0</v>
      </c>
      <c r="G17" s="28">
        <f t="shared" si="2"/>
        <v>0</v>
      </c>
      <c r="H17" s="20"/>
      <c r="I17" s="20">
        <v>3</v>
      </c>
      <c r="J17" s="20"/>
      <c r="K17" s="20"/>
      <c r="L17" s="33">
        <f t="shared" si="0"/>
        <v>3</v>
      </c>
      <c r="M17" s="40">
        <f t="shared" si="3"/>
        <v>0.96666666666666667</v>
      </c>
      <c r="N17" s="33">
        <f>IFERROR(VLOOKUP(A17,Sonuç!A:D,4,1),0)</f>
        <v>90</v>
      </c>
    </row>
    <row r="18" spans="1:14" x14ac:dyDescent="0.2">
      <c r="A18" s="20">
        <v>2376</v>
      </c>
      <c r="B18" s="20" t="s">
        <v>120</v>
      </c>
      <c r="C18" s="20"/>
      <c r="D18" s="20">
        <v>7</v>
      </c>
      <c r="E18" s="20"/>
      <c r="F18" s="20">
        <f t="shared" si="1"/>
        <v>7</v>
      </c>
      <c r="G18" s="28">
        <f t="shared" si="2"/>
        <v>7.7777777777777779E-2</v>
      </c>
      <c r="H18" s="20"/>
      <c r="I18" s="20"/>
      <c r="J18" s="20"/>
      <c r="K18" s="20"/>
      <c r="L18" s="33">
        <f t="shared" si="0"/>
        <v>7</v>
      </c>
      <c r="M18" s="40">
        <f t="shared" si="3"/>
        <v>0.92222222222222228</v>
      </c>
      <c r="N18" s="33">
        <f>IFERROR(VLOOKUP(A18,Sonuç!A:D,4,1),0)</f>
        <v>90</v>
      </c>
    </row>
    <row r="19" spans="1:14" x14ac:dyDescent="0.2">
      <c r="A19" s="20">
        <v>2462</v>
      </c>
      <c r="B19" s="20" t="s">
        <v>123</v>
      </c>
      <c r="C19" s="20"/>
      <c r="D19" s="20">
        <v>7</v>
      </c>
      <c r="E19" s="20"/>
      <c r="F19" s="20">
        <f t="shared" si="1"/>
        <v>7</v>
      </c>
      <c r="G19" s="28">
        <f t="shared" si="2"/>
        <v>7.7777777777777779E-2</v>
      </c>
      <c r="H19" s="20"/>
      <c r="I19" s="20"/>
      <c r="J19" s="20"/>
      <c r="K19" s="20"/>
      <c r="L19" s="33">
        <f t="shared" si="0"/>
        <v>7</v>
      </c>
      <c r="M19" s="40">
        <f t="shared" si="3"/>
        <v>0.92222222222222228</v>
      </c>
      <c r="N19" s="33">
        <f>IFERROR(VLOOKUP(A19,Sonuç!A:D,4,1),0)</f>
        <v>90</v>
      </c>
    </row>
    <row r="20" spans="1:14" x14ac:dyDescent="0.2">
      <c r="A20" s="20">
        <v>2815</v>
      </c>
      <c r="B20" s="20" t="s">
        <v>132</v>
      </c>
      <c r="C20" s="20"/>
      <c r="D20" s="20"/>
      <c r="E20" s="20"/>
      <c r="F20" s="20">
        <f t="shared" si="1"/>
        <v>0</v>
      </c>
      <c r="G20" s="28">
        <f t="shared" si="2"/>
        <v>0</v>
      </c>
      <c r="H20" s="20"/>
      <c r="I20" s="20">
        <v>3</v>
      </c>
      <c r="J20" s="20"/>
      <c r="K20" s="20"/>
      <c r="L20" s="33">
        <f t="shared" si="0"/>
        <v>3</v>
      </c>
      <c r="M20" s="40">
        <f t="shared" si="3"/>
        <v>0.96666666666666667</v>
      </c>
      <c r="N20" s="33">
        <f>IFERROR(VLOOKUP(A20,Sonuç!A:D,4,1),0)</f>
        <v>90</v>
      </c>
    </row>
    <row r="21" spans="1:14" x14ac:dyDescent="0.2">
      <c r="A21" s="20">
        <v>3111</v>
      </c>
      <c r="B21" s="20" t="s">
        <v>135</v>
      </c>
      <c r="C21" s="20"/>
      <c r="D21" s="20">
        <v>7</v>
      </c>
      <c r="E21" s="20"/>
      <c r="F21" s="20">
        <f t="shared" si="1"/>
        <v>7</v>
      </c>
      <c r="G21" s="28">
        <f t="shared" si="2"/>
        <v>7.7777777777777779E-2</v>
      </c>
      <c r="H21" s="20"/>
      <c r="I21" s="20"/>
      <c r="J21" s="20"/>
      <c r="K21" s="20"/>
      <c r="L21" s="33">
        <f t="shared" si="0"/>
        <v>7</v>
      </c>
      <c r="M21" s="40">
        <f t="shared" si="3"/>
        <v>0.92222222222222228</v>
      </c>
      <c r="N21" s="33">
        <f>IFERROR(VLOOKUP(A21,Sonuç!A:D,4,1),0)</f>
        <v>90</v>
      </c>
    </row>
    <row r="22" spans="1:14" x14ac:dyDescent="0.2">
      <c r="A22" s="20">
        <v>3113</v>
      </c>
      <c r="B22" s="20" t="s">
        <v>136</v>
      </c>
      <c r="C22" s="20"/>
      <c r="D22" s="20"/>
      <c r="E22" s="20">
        <v>37</v>
      </c>
      <c r="F22" s="20">
        <f t="shared" si="1"/>
        <v>37</v>
      </c>
      <c r="G22" s="28">
        <f t="shared" si="2"/>
        <v>0.41111111111111109</v>
      </c>
      <c r="H22" s="20"/>
      <c r="I22" s="20"/>
      <c r="J22" s="20"/>
      <c r="K22" s="20">
        <v>53</v>
      </c>
      <c r="L22" s="33">
        <f t="shared" si="0"/>
        <v>90</v>
      </c>
      <c r="M22" s="40">
        <f t="shared" si="3"/>
        <v>0</v>
      </c>
      <c r="N22" s="33">
        <f>IFERROR(VLOOKUP(A22,Sonuç!A:D,4,1),0)</f>
        <v>90</v>
      </c>
    </row>
    <row r="23" spans="1:14" x14ac:dyDescent="0.2">
      <c r="A23" s="20">
        <v>3438</v>
      </c>
      <c r="B23" s="20" t="s">
        <v>144</v>
      </c>
      <c r="C23" s="20"/>
      <c r="D23" s="20"/>
      <c r="E23" s="20"/>
      <c r="F23" s="20">
        <f t="shared" si="1"/>
        <v>0</v>
      </c>
      <c r="G23" s="28">
        <f t="shared" si="2"/>
        <v>0</v>
      </c>
      <c r="H23" s="20"/>
      <c r="I23" s="20">
        <v>2</v>
      </c>
      <c r="J23" s="20"/>
      <c r="K23" s="20"/>
      <c r="L23" s="33">
        <f t="shared" si="0"/>
        <v>2</v>
      </c>
      <c r="M23" s="40">
        <f t="shared" si="3"/>
        <v>0.97777777777777775</v>
      </c>
      <c r="N23" s="33">
        <f>IFERROR(VLOOKUP(A23,Sonuç!A:D,4,1),0)</f>
        <v>90</v>
      </c>
    </row>
    <row r="24" spans="1:14" x14ac:dyDescent="0.2">
      <c r="A24" s="20">
        <v>3482</v>
      </c>
      <c r="B24" s="20" t="s">
        <v>150</v>
      </c>
      <c r="C24" s="20"/>
      <c r="D24" s="20">
        <v>6</v>
      </c>
      <c r="E24" s="20"/>
      <c r="F24" s="20">
        <f t="shared" si="1"/>
        <v>6</v>
      </c>
      <c r="G24" s="28">
        <f t="shared" si="2"/>
        <v>6.6666666666666666E-2</v>
      </c>
      <c r="H24" s="20"/>
      <c r="I24" s="20"/>
      <c r="J24" s="20"/>
      <c r="K24" s="20"/>
      <c r="L24" s="33">
        <f t="shared" si="0"/>
        <v>6</v>
      </c>
      <c r="M24" s="40">
        <f t="shared" si="3"/>
        <v>0.93333333333333335</v>
      </c>
      <c r="N24" s="33">
        <f>IFERROR(VLOOKUP(A24,Sonuç!A:D,4,1),0)</f>
        <v>90</v>
      </c>
    </row>
    <row r="25" spans="1:14" x14ac:dyDescent="0.2">
      <c r="A25" s="20">
        <v>3551</v>
      </c>
      <c r="B25" s="20" t="s">
        <v>155</v>
      </c>
      <c r="C25" s="20"/>
      <c r="D25" s="20">
        <v>7</v>
      </c>
      <c r="E25" s="20"/>
      <c r="F25" s="20">
        <f t="shared" si="1"/>
        <v>7</v>
      </c>
      <c r="G25" s="28">
        <f t="shared" si="2"/>
        <v>7.7777777777777779E-2</v>
      </c>
      <c r="H25" s="20"/>
      <c r="I25" s="20"/>
      <c r="J25" s="20"/>
      <c r="K25" s="20"/>
      <c r="L25" s="33">
        <f t="shared" si="0"/>
        <v>7</v>
      </c>
      <c r="M25" s="40">
        <f t="shared" si="3"/>
        <v>0.92222222222222228</v>
      </c>
      <c r="N25" s="33">
        <f>IFERROR(VLOOKUP(A25,Sonuç!A:D,4,1),0)</f>
        <v>90</v>
      </c>
    </row>
    <row r="26" spans="1:14" x14ac:dyDescent="0.2">
      <c r="A26" s="20">
        <v>3565</v>
      </c>
      <c r="B26" s="20" t="s">
        <v>156</v>
      </c>
      <c r="C26" s="20"/>
      <c r="D26" s="20">
        <v>6</v>
      </c>
      <c r="E26" s="20"/>
      <c r="F26" s="20">
        <f t="shared" si="1"/>
        <v>6</v>
      </c>
      <c r="G26" s="28">
        <f t="shared" si="2"/>
        <v>6.6666666666666666E-2</v>
      </c>
      <c r="H26" s="20"/>
      <c r="I26" s="20">
        <v>3</v>
      </c>
      <c r="J26" s="20"/>
      <c r="K26" s="20"/>
      <c r="L26" s="33">
        <f t="shared" si="0"/>
        <v>9</v>
      </c>
      <c r="M26" s="40">
        <f t="shared" si="3"/>
        <v>0.9</v>
      </c>
      <c r="N26" s="33">
        <f>IFERROR(VLOOKUP(A26,Sonuç!A:D,4,1),0)</f>
        <v>90</v>
      </c>
    </row>
    <row r="27" spans="1:14" x14ac:dyDescent="0.2">
      <c r="A27" s="20">
        <v>3566</v>
      </c>
      <c r="B27" s="20" t="s">
        <v>157</v>
      </c>
      <c r="C27" s="20"/>
      <c r="D27" s="20"/>
      <c r="E27" s="20"/>
      <c r="F27" s="20">
        <f t="shared" si="1"/>
        <v>0</v>
      </c>
      <c r="G27" s="28">
        <f t="shared" si="2"/>
        <v>0</v>
      </c>
      <c r="H27" s="20"/>
      <c r="I27" s="20"/>
      <c r="J27" s="20"/>
      <c r="K27" s="20">
        <v>2</v>
      </c>
      <c r="L27" s="33">
        <f t="shared" si="0"/>
        <v>2</v>
      </c>
      <c r="M27" s="40">
        <f t="shared" si="3"/>
        <v>0.97777777777777775</v>
      </c>
      <c r="N27" s="33">
        <f>IFERROR(VLOOKUP(A27,Sonuç!A:D,4,1),0)</f>
        <v>90</v>
      </c>
    </row>
    <row r="28" spans="1:14" x14ac:dyDescent="0.2">
      <c r="A28" s="20">
        <v>3572</v>
      </c>
      <c r="B28" s="20" t="s">
        <v>160</v>
      </c>
      <c r="C28" s="20"/>
      <c r="D28" s="20">
        <v>14</v>
      </c>
      <c r="E28" s="20"/>
      <c r="F28" s="20">
        <f t="shared" si="1"/>
        <v>14</v>
      </c>
      <c r="G28" s="28">
        <f t="shared" si="2"/>
        <v>0.15555555555555556</v>
      </c>
      <c r="H28" s="20"/>
      <c r="I28" s="20"/>
      <c r="J28" s="20"/>
      <c r="K28" s="20"/>
      <c r="L28" s="33">
        <f t="shared" si="0"/>
        <v>14</v>
      </c>
      <c r="M28" s="40">
        <f t="shared" si="3"/>
        <v>0.84444444444444444</v>
      </c>
      <c r="N28" s="33">
        <f>IFERROR(VLOOKUP(A28,Sonuç!A:D,4,1),0)</f>
        <v>90</v>
      </c>
    </row>
    <row r="29" spans="1:14" x14ac:dyDescent="0.2">
      <c r="A29" s="20">
        <v>3576</v>
      </c>
      <c r="B29" s="20" t="s">
        <v>161</v>
      </c>
      <c r="C29" s="20"/>
      <c r="D29" s="20"/>
      <c r="E29" s="20"/>
      <c r="F29" s="20">
        <f t="shared" si="1"/>
        <v>0</v>
      </c>
      <c r="G29" s="28">
        <f t="shared" si="2"/>
        <v>0</v>
      </c>
      <c r="H29" s="20"/>
      <c r="I29" s="20"/>
      <c r="J29" s="20"/>
      <c r="K29" s="20">
        <v>1</v>
      </c>
      <c r="L29" s="33">
        <f t="shared" si="0"/>
        <v>1</v>
      </c>
      <c r="M29" s="40">
        <f t="shared" si="3"/>
        <v>0.98888888888888893</v>
      </c>
      <c r="N29" s="33">
        <f>IFERROR(VLOOKUP(A29,Sonuç!A:D,4,1),0)</f>
        <v>90</v>
      </c>
    </row>
    <row r="30" spans="1:14" x14ac:dyDescent="0.2">
      <c r="A30" s="20">
        <v>3582</v>
      </c>
      <c r="B30" s="20" t="s">
        <v>162</v>
      </c>
      <c r="C30" s="20"/>
      <c r="D30" s="20"/>
      <c r="E30" s="20"/>
      <c r="F30" s="20">
        <f t="shared" si="1"/>
        <v>0</v>
      </c>
      <c r="G30" s="28">
        <f t="shared" si="2"/>
        <v>0</v>
      </c>
      <c r="H30" s="20"/>
      <c r="I30" s="20">
        <v>2</v>
      </c>
      <c r="J30" s="20"/>
      <c r="K30" s="20"/>
      <c r="L30" s="33">
        <f t="shared" si="0"/>
        <v>2</v>
      </c>
      <c r="M30" s="40">
        <f t="shared" si="3"/>
        <v>0.97777777777777775</v>
      </c>
      <c r="N30" s="33">
        <f>IFERROR(VLOOKUP(A30,Sonuç!A:D,4,1),0)</f>
        <v>90</v>
      </c>
    </row>
    <row r="31" spans="1:14" x14ac:dyDescent="0.2">
      <c r="A31" s="20">
        <v>3597</v>
      </c>
      <c r="B31" s="20" t="s">
        <v>441</v>
      </c>
      <c r="C31" s="20"/>
      <c r="D31" s="20"/>
      <c r="E31" s="20"/>
      <c r="F31" s="20">
        <f t="shared" si="1"/>
        <v>0</v>
      </c>
      <c r="G31" s="28">
        <f t="shared" si="2"/>
        <v>0</v>
      </c>
      <c r="H31" s="20"/>
      <c r="I31" s="20">
        <v>3</v>
      </c>
      <c r="J31" s="20"/>
      <c r="K31" s="20"/>
      <c r="L31" s="33">
        <f t="shared" si="0"/>
        <v>3</v>
      </c>
      <c r="M31" s="40">
        <f t="shared" si="3"/>
        <v>0.96666666666666667</v>
      </c>
      <c r="N31" s="33">
        <f>IFERROR(VLOOKUP(A31,Sonuç!A:D,4,1),0)</f>
        <v>90</v>
      </c>
    </row>
    <row r="32" spans="1:14" x14ac:dyDescent="0.2">
      <c r="A32" s="20">
        <v>3598</v>
      </c>
      <c r="B32" s="20" t="s">
        <v>165</v>
      </c>
      <c r="C32" s="20"/>
      <c r="D32" s="20"/>
      <c r="E32" s="20"/>
      <c r="F32" s="20">
        <f t="shared" si="1"/>
        <v>0</v>
      </c>
      <c r="G32" s="28">
        <f t="shared" si="2"/>
        <v>0</v>
      </c>
      <c r="H32" s="20"/>
      <c r="I32" s="20">
        <v>3</v>
      </c>
      <c r="J32" s="20"/>
      <c r="K32" s="20"/>
      <c r="L32" s="33">
        <f t="shared" si="0"/>
        <v>3</v>
      </c>
      <c r="M32" s="40">
        <f t="shared" si="3"/>
        <v>0.96666666666666667</v>
      </c>
      <c r="N32" s="33">
        <f>IFERROR(VLOOKUP(A32,Sonuç!A:D,4,1),0)</f>
        <v>90</v>
      </c>
    </row>
    <row r="33" spans="1:14" x14ac:dyDescent="0.2">
      <c r="A33" s="20">
        <v>3614</v>
      </c>
      <c r="B33" s="20" t="s">
        <v>166</v>
      </c>
      <c r="C33" s="20"/>
      <c r="D33" s="20"/>
      <c r="E33" s="20"/>
      <c r="F33" s="20">
        <f t="shared" si="1"/>
        <v>0</v>
      </c>
      <c r="G33" s="28">
        <f t="shared" si="2"/>
        <v>0</v>
      </c>
      <c r="H33" s="20"/>
      <c r="I33" s="20">
        <v>3</v>
      </c>
      <c r="J33" s="20"/>
      <c r="K33" s="20"/>
      <c r="L33" s="33">
        <f t="shared" si="0"/>
        <v>3</v>
      </c>
      <c r="M33" s="40">
        <f t="shared" si="3"/>
        <v>0.96666666666666667</v>
      </c>
      <c r="N33" s="33">
        <f>IFERROR(VLOOKUP(A33,Sonuç!A:D,4,1),0)</f>
        <v>90</v>
      </c>
    </row>
    <row r="34" spans="1:14" x14ac:dyDescent="0.2">
      <c r="A34" s="20">
        <v>3656</v>
      </c>
      <c r="B34" s="20" t="s">
        <v>173</v>
      </c>
      <c r="C34" s="20"/>
      <c r="D34" s="20">
        <v>8</v>
      </c>
      <c r="E34" s="20"/>
      <c r="F34" s="20">
        <f t="shared" si="1"/>
        <v>8</v>
      </c>
      <c r="G34" s="28">
        <f t="shared" si="2"/>
        <v>8.8888888888888892E-2</v>
      </c>
      <c r="H34" s="20"/>
      <c r="I34" s="20"/>
      <c r="J34" s="20"/>
      <c r="K34" s="20"/>
      <c r="L34" s="33">
        <f t="shared" ref="L34:L65" si="4">C34+D34+E34+H34+I34+J34+K34</f>
        <v>8</v>
      </c>
      <c r="M34" s="40">
        <f t="shared" si="3"/>
        <v>0.91111111111111109</v>
      </c>
      <c r="N34" s="33">
        <f>IFERROR(VLOOKUP(A34,Sonuç!A:D,4,1),0)</f>
        <v>90</v>
      </c>
    </row>
    <row r="35" spans="1:14" x14ac:dyDescent="0.2">
      <c r="A35" s="20">
        <v>3664</v>
      </c>
      <c r="B35" s="20" t="s">
        <v>175</v>
      </c>
      <c r="C35" s="20"/>
      <c r="D35" s="20">
        <v>6</v>
      </c>
      <c r="E35" s="20"/>
      <c r="F35" s="20">
        <f t="shared" si="1"/>
        <v>6</v>
      </c>
      <c r="G35" s="28">
        <f t="shared" si="2"/>
        <v>6.6666666666666666E-2</v>
      </c>
      <c r="H35" s="20"/>
      <c r="I35" s="20">
        <v>3</v>
      </c>
      <c r="J35" s="20"/>
      <c r="K35" s="20"/>
      <c r="L35" s="33">
        <f t="shared" si="4"/>
        <v>9</v>
      </c>
      <c r="M35" s="40">
        <f t="shared" si="3"/>
        <v>0.9</v>
      </c>
      <c r="N35" s="33">
        <f>IFERROR(VLOOKUP(A35,Sonuç!A:D,4,1),0)</f>
        <v>90</v>
      </c>
    </row>
    <row r="36" spans="1:14" x14ac:dyDescent="0.2">
      <c r="A36" s="20">
        <v>3710</v>
      </c>
      <c r="B36" s="20" t="s">
        <v>177</v>
      </c>
      <c r="C36" s="20"/>
      <c r="D36" s="20">
        <v>7</v>
      </c>
      <c r="E36" s="20"/>
      <c r="F36" s="20">
        <f t="shared" si="1"/>
        <v>7</v>
      </c>
      <c r="G36" s="28">
        <f t="shared" si="2"/>
        <v>7.7777777777777779E-2</v>
      </c>
      <c r="H36" s="20"/>
      <c r="I36" s="20"/>
      <c r="J36" s="20"/>
      <c r="K36" s="20"/>
      <c r="L36" s="33">
        <f t="shared" si="4"/>
        <v>7</v>
      </c>
      <c r="M36" s="40">
        <f t="shared" si="3"/>
        <v>0.92222222222222228</v>
      </c>
      <c r="N36" s="33">
        <f>IFERROR(VLOOKUP(A36,Sonuç!A:D,4,1),0)</f>
        <v>90</v>
      </c>
    </row>
    <row r="37" spans="1:14" x14ac:dyDescent="0.2">
      <c r="A37" s="20">
        <v>3770</v>
      </c>
      <c r="B37" s="20" t="s">
        <v>180</v>
      </c>
      <c r="C37" s="20"/>
      <c r="D37" s="20">
        <v>6</v>
      </c>
      <c r="E37" s="20"/>
      <c r="F37" s="20">
        <f t="shared" si="1"/>
        <v>6</v>
      </c>
      <c r="G37" s="28">
        <f t="shared" si="2"/>
        <v>6.6666666666666666E-2</v>
      </c>
      <c r="H37" s="20"/>
      <c r="I37" s="20">
        <v>2</v>
      </c>
      <c r="J37" s="20"/>
      <c r="K37" s="20"/>
      <c r="L37" s="33">
        <f t="shared" si="4"/>
        <v>8</v>
      </c>
      <c r="M37" s="40">
        <f t="shared" si="3"/>
        <v>0.91111111111111109</v>
      </c>
      <c r="N37" s="33">
        <f>IFERROR(VLOOKUP(A37,Sonuç!A:D,4,1),0)</f>
        <v>90</v>
      </c>
    </row>
    <row r="38" spans="1:14" x14ac:dyDescent="0.2">
      <c r="A38" s="20">
        <v>3805</v>
      </c>
      <c r="B38" s="20" t="s">
        <v>185</v>
      </c>
      <c r="C38" s="20"/>
      <c r="D38" s="20"/>
      <c r="E38" s="20"/>
      <c r="F38" s="20">
        <f t="shared" si="1"/>
        <v>0</v>
      </c>
      <c r="G38" s="28">
        <f t="shared" si="2"/>
        <v>0</v>
      </c>
      <c r="H38" s="20"/>
      <c r="I38" s="20">
        <v>1</v>
      </c>
      <c r="J38" s="20">
        <v>17</v>
      </c>
      <c r="K38" s="20"/>
      <c r="L38" s="33">
        <f t="shared" si="4"/>
        <v>18</v>
      </c>
      <c r="M38" s="40">
        <f t="shared" si="3"/>
        <v>0.7</v>
      </c>
      <c r="N38" s="33">
        <f>IFERROR(VLOOKUP(A38,Sonuç!A:D,4,1),0)</f>
        <v>60</v>
      </c>
    </row>
    <row r="39" spans="1:14" x14ac:dyDescent="0.2">
      <c r="A39" s="20">
        <v>3807</v>
      </c>
      <c r="B39" s="20" t="s">
        <v>186</v>
      </c>
      <c r="C39" s="20"/>
      <c r="D39" s="20"/>
      <c r="E39" s="20"/>
      <c r="F39" s="20">
        <f t="shared" si="1"/>
        <v>0</v>
      </c>
      <c r="G39" s="28">
        <f t="shared" si="2"/>
        <v>0</v>
      </c>
      <c r="H39" s="20"/>
      <c r="I39" s="20">
        <v>5</v>
      </c>
      <c r="J39" s="20"/>
      <c r="K39" s="20"/>
      <c r="L39" s="33">
        <f t="shared" si="4"/>
        <v>5</v>
      </c>
      <c r="M39" s="40">
        <f t="shared" si="3"/>
        <v>0.94444444444444442</v>
      </c>
      <c r="N39" s="33">
        <f>IFERROR(VLOOKUP(A39,Sonuç!A:D,4,1),0)</f>
        <v>90</v>
      </c>
    </row>
    <row r="40" spans="1:14" x14ac:dyDescent="0.2">
      <c r="A40" s="20">
        <v>3825</v>
      </c>
      <c r="B40" s="20" t="s">
        <v>188</v>
      </c>
      <c r="C40" s="20"/>
      <c r="D40" s="20"/>
      <c r="E40" s="20"/>
      <c r="F40" s="20">
        <f t="shared" si="1"/>
        <v>0</v>
      </c>
      <c r="G40" s="28">
        <f t="shared" si="2"/>
        <v>0</v>
      </c>
      <c r="H40" s="20"/>
      <c r="I40" s="20">
        <v>1</v>
      </c>
      <c r="J40" s="20"/>
      <c r="K40" s="20"/>
      <c r="L40" s="33">
        <f t="shared" si="4"/>
        <v>1</v>
      </c>
      <c r="M40" s="40">
        <f t="shared" si="3"/>
        <v>0.98888888888888893</v>
      </c>
      <c r="N40" s="33">
        <f>IFERROR(VLOOKUP(A40,Sonuç!A:D,4,1),0)</f>
        <v>90</v>
      </c>
    </row>
    <row r="41" spans="1:14" x14ac:dyDescent="0.2">
      <c r="A41" s="20">
        <v>3826</v>
      </c>
      <c r="B41" s="20" t="s">
        <v>189</v>
      </c>
      <c r="C41" s="20"/>
      <c r="D41" s="20"/>
      <c r="E41" s="20"/>
      <c r="F41" s="20">
        <f t="shared" si="1"/>
        <v>0</v>
      </c>
      <c r="G41" s="28">
        <f t="shared" si="2"/>
        <v>0</v>
      </c>
      <c r="H41" s="20"/>
      <c r="I41" s="20">
        <v>3</v>
      </c>
      <c r="J41" s="20"/>
      <c r="K41" s="20"/>
      <c r="L41" s="33">
        <f t="shared" si="4"/>
        <v>3</v>
      </c>
      <c r="M41" s="40">
        <f t="shared" si="3"/>
        <v>0.96666666666666667</v>
      </c>
      <c r="N41" s="33">
        <f>IFERROR(VLOOKUP(A41,Sonuç!A:D,4,1),0)</f>
        <v>90</v>
      </c>
    </row>
    <row r="42" spans="1:14" x14ac:dyDescent="0.2">
      <c r="A42" s="20">
        <v>3830</v>
      </c>
      <c r="B42" s="20" t="s">
        <v>191</v>
      </c>
      <c r="C42" s="20"/>
      <c r="D42" s="20"/>
      <c r="E42" s="20"/>
      <c r="F42" s="20">
        <f t="shared" si="1"/>
        <v>0</v>
      </c>
      <c r="G42" s="28">
        <f t="shared" si="2"/>
        <v>0</v>
      </c>
      <c r="H42" s="20"/>
      <c r="I42" s="20">
        <v>3</v>
      </c>
      <c r="J42" s="20"/>
      <c r="K42" s="20"/>
      <c r="L42" s="33">
        <f t="shared" si="4"/>
        <v>3</v>
      </c>
      <c r="M42" s="40">
        <f t="shared" si="3"/>
        <v>0.96666666666666667</v>
      </c>
      <c r="N42" s="33">
        <f>IFERROR(VLOOKUP(A42,Sonuç!A:D,4,1),0)</f>
        <v>90</v>
      </c>
    </row>
    <row r="43" spans="1:14" x14ac:dyDescent="0.2">
      <c r="A43" s="20">
        <v>3844</v>
      </c>
      <c r="B43" s="20" t="s">
        <v>192</v>
      </c>
      <c r="C43" s="20"/>
      <c r="D43" s="20">
        <v>13</v>
      </c>
      <c r="E43" s="20"/>
      <c r="F43" s="20">
        <f t="shared" si="1"/>
        <v>13</v>
      </c>
      <c r="G43" s="28">
        <f t="shared" si="2"/>
        <v>0.14444444444444443</v>
      </c>
      <c r="H43" s="20"/>
      <c r="I43" s="20">
        <v>1</v>
      </c>
      <c r="J43" s="20"/>
      <c r="K43" s="20"/>
      <c r="L43" s="33">
        <f t="shared" si="4"/>
        <v>14</v>
      </c>
      <c r="M43" s="40">
        <f t="shared" si="3"/>
        <v>0.84444444444444444</v>
      </c>
      <c r="N43" s="33">
        <f>IFERROR(VLOOKUP(A43,Sonuç!A:D,4,1),0)</f>
        <v>90</v>
      </c>
    </row>
    <row r="44" spans="1:14" x14ac:dyDescent="0.2">
      <c r="A44" s="20">
        <v>3868</v>
      </c>
      <c r="B44" s="20" t="s">
        <v>197</v>
      </c>
      <c r="C44" s="20"/>
      <c r="D44" s="20"/>
      <c r="E44" s="20"/>
      <c r="F44" s="20">
        <f t="shared" si="1"/>
        <v>0</v>
      </c>
      <c r="G44" s="28">
        <f t="shared" si="2"/>
        <v>0</v>
      </c>
      <c r="H44" s="20"/>
      <c r="I44" s="20">
        <v>11</v>
      </c>
      <c r="J44" s="20"/>
      <c r="K44" s="20"/>
      <c r="L44" s="33">
        <f t="shared" si="4"/>
        <v>11</v>
      </c>
      <c r="M44" s="40">
        <f t="shared" si="3"/>
        <v>0.81666666666666665</v>
      </c>
      <c r="N44" s="33">
        <f>IFERROR(VLOOKUP(A44,Sonuç!A:D,4,1),0)</f>
        <v>60</v>
      </c>
    </row>
    <row r="45" spans="1:14" x14ac:dyDescent="0.2">
      <c r="A45" s="20">
        <v>3878</v>
      </c>
      <c r="B45" s="20" t="s">
        <v>200</v>
      </c>
      <c r="C45" s="20"/>
      <c r="D45" s="20"/>
      <c r="E45" s="20"/>
      <c r="F45" s="20">
        <f t="shared" si="1"/>
        <v>0</v>
      </c>
      <c r="G45" s="28">
        <f t="shared" si="2"/>
        <v>0</v>
      </c>
      <c r="H45" s="20"/>
      <c r="I45" s="20"/>
      <c r="J45" s="20"/>
      <c r="K45" s="20">
        <v>1</v>
      </c>
      <c r="L45" s="33">
        <f t="shared" si="4"/>
        <v>1</v>
      </c>
      <c r="M45" s="40">
        <f t="shared" si="3"/>
        <v>0.98888888888888893</v>
      </c>
      <c r="N45" s="33">
        <f>IFERROR(VLOOKUP(A45,Sonuç!A:D,4,1),0)</f>
        <v>90</v>
      </c>
    </row>
    <row r="46" spans="1:14" x14ac:dyDescent="0.2">
      <c r="A46" s="20">
        <v>3886</v>
      </c>
      <c r="B46" s="20" t="s">
        <v>201</v>
      </c>
      <c r="C46" s="20"/>
      <c r="D46" s="20">
        <v>6</v>
      </c>
      <c r="E46" s="20"/>
      <c r="F46" s="20">
        <f t="shared" si="1"/>
        <v>6</v>
      </c>
      <c r="G46" s="28">
        <f t="shared" si="2"/>
        <v>6.6666666666666666E-2</v>
      </c>
      <c r="H46" s="20"/>
      <c r="I46" s="20"/>
      <c r="J46" s="20"/>
      <c r="K46" s="20"/>
      <c r="L46" s="33">
        <f t="shared" si="4"/>
        <v>6</v>
      </c>
      <c r="M46" s="40">
        <f t="shared" si="3"/>
        <v>0.93333333333333335</v>
      </c>
      <c r="N46" s="33">
        <f>IFERROR(VLOOKUP(A46,Sonuç!A:D,4,1),0)</f>
        <v>90</v>
      </c>
    </row>
    <row r="47" spans="1:14" x14ac:dyDescent="0.2">
      <c r="A47" s="20">
        <v>3913</v>
      </c>
      <c r="B47" s="20" t="s">
        <v>203</v>
      </c>
      <c r="C47" s="20"/>
      <c r="D47" s="20">
        <v>6</v>
      </c>
      <c r="E47" s="20"/>
      <c r="F47" s="20">
        <f t="shared" si="1"/>
        <v>6</v>
      </c>
      <c r="G47" s="28">
        <f t="shared" si="2"/>
        <v>6.6666666666666666E-2</v>
      </c>
      <c r="H47" s="20"/>
      <c r="I47" s="20"/>
      <c r="J47" s="20"/>
      <c r="K47" s="20"/>
      <c r="L47" s="33">
        <f t="shared" si="4"/>
        <v>6</v>
      </c>
      <c r="M47" s="40">
        <f t="shared" si="3"/>
        <v>0.93333333333333335</v>
      </c>
      <c r="N47" s="33">
        <f>IFERROR(VLOOKUP(A47,Sonuç!A:D,4,1),0)</f>
        <v>90</v>
      </c>
    </row>
    <row r="48" spans="1:14" x14ac:dyDescent="0.2">
      <c r="A48" s="20">
        <v>3939</v>
      </c>
      <c r="B48" s="20" t="s">
        <v>207</v>
      </c>
      <c r="C48" s="20"/>
      <c r="D48" s="20">
        <v>7</v>
      </c>
      <c r="E48" s="20"/>
      <c r="F48" s="20">
        <f t="shared" si="1"/>
        <v>7</v>
      </c>
      <c r="G48" s="28">
        <f t="shared" si="2"/>
        <v>7.7777777777777779E-2</v>
      </c>
      <c r="H48" s="20"/>
      <c r="I48" s="20"/>
      <c r="J48" s="20"/>
      <c r="K48" s="20"/>
      <c r="L48" s="33">
        <f t="shared" si="4"/>
        <v>7</v>
      </c>
      <c r="M48" s="40">
        <f t="shared" si="3"/>
        <v>0.92222222222222228</v>
      </c>
      <c r="N48" s="33">
        <f>IFERROR(VLOOKUP(A48,Sonuç!A:D,4,1),0)</f>
        <v>90</v>
      </c>
    </row>
    <row r="49" spans="1:14" x14ac:dyDescent="0.2">
      <c r="A49" s="20">
        <v>4001</v>
      </c>
      <c r="B49" s="20" t="s">
        <v>213</v>
      </c>
      <c r="C49" s="20"/>
      <c r="D49" s="20">
        <v>7</v>
      </c>
      <c r="E49" s="20"/>
      <c r="F49" s="20">
        <f t="shared" si="1"/>
        <v>7</v>
      </c>
      <c r="G49" s="28">
        <f t="shared" si="2"/>
        <v>7.7777777777777779E-2</v>
      </c>
      <c r="H49" s="20"/>
      <c r="I49" s="20"/>
      <c r="J49" s="20"/>
      <c r="K49" s="20"/>
      <c r="L49" s="33">
        <f t="shared" si="4"/>
        <v>7</v>
      </c>
      <c r="M49" s="40">
        <f t="shared" si="3"/>
        <v>0.92222222222222228</v>
      </c>
      <c r="N49" s="33">
        <f>IFERROR(VLOOKUP(A49,Sonuç!A:D,4,1),0)</f>
        <v>90</v>
      </c>
    </row>
    <row r="50" spans="1:14" x14ac:dyDescent="0.2">
      <c r="A50" s="20">
        <v>4019</v>
      </c>
      <c r="B50" s="20" t="s">
        <v>217</v>
      </c>
      <c r="C50" s="20"/>
      <c r="D50" s="20"/>
      <c r="E50" s="20"/>
      <c r="F50" s="20">
        <f t="shared" si="1"/>
        <v>0</v>
      </c>
      <c r="G50" s="28">
        <f t="shared" si="2"/>
        <v>0</v>
      </c>
      <c r="H50" s="20"/>
      <c r="I50" s="20"/>
      <c r="J50" s="20">
        <v>6</v>
      </c>
      <c r="K50" s="20"/>
      <c r="L50" s="33">
        <f t="shared" si="4"/>
        <v>6</v>
      </c>
      <c r="M50" s="40">
        <f t="shared" si="3"/>
        <v>0.93333333333333335</v>
      </c>
      <c r="N50" s="33">
        <f>IFERROR(VLOOKUP(A50,Sonuç!A:D,4,1),0)</f>
        <v>90</v>
      </c>
    </row>
    <row r="51" spans="1:14" x14ac:dyDescent="0.2">
      <c r="A51" s="20">
        <v>4020</v>
      </c>
      <c r="B51" s="20" t="s">
        <v>218</v>
      </c>
      <c r="C51" s="20"/>
      <c r="D51" s="20"/>
      <c r="E51" s="20"/>
      <c r="F51" s="20">
        <f t="shared" si="1"/>
        <v>0</v>
      </c>
      <c r="G51" s="28">
        <f t="shared" si="2"/>
        <v>0</v>
      </c>
      <c r="H51" s="20"/>
      <c r="I51" s="20">
        <v>1</v>
      </c>
      <c r="J51" s="20"/>
      <c r="K51" s="20"/>
      <c r="L51" s="33">
        <f t="shared" si="4"/>
        <v>1</v>
      </c>
      <c r="M51" s="40">
        <f t="shared" si="3"/>
        <v>0.98888888888888893</v>
      </c>
      <c r="N51" s="33">
        <f>IFERROR(VLOOKUP(A51,Sonuç!A:D,4,1),0)</f>
        <v>90</v>
      </c>
    </row>
    <row r="52" spans="1:14" x14ac:dyDescent="0.2">
      <c r="A52" s="20">
        <v>4021</v>
      </c>
      <c r="B52" s="20" t="s">
        <v>220</v>
      </c>
      <c r="C52" s="20"/>
      <c r="D52" s="20"/>
      <c r="E52" s="20"/>
      <c r="F52" s="20">
        <f t="shared" si="1"/>
        <v>0</v>
      </c>
      <c r="G52" s="28">
        <f t="shared" si="2"/>
        <v>0</v>
      </c>
      <c r="H52" s="20"/>
      <c r="I52" s="20">
        <v>1</v>
      </c>
      <c r="J52" s="20"/>
      <c r="K52" s="20"/>
      <c r="L52" s="33">
        <f t="shared" si="4"/>
        <v>1</v>
      </c>
      <c r="M52" s="40">
        <f t="shared" si="3"/>
        <v>0.98888888888888893</v>
      </c>
      <c r="N52" s="33">
        <f>IFERROR(VLOOKUP(A52,Sonuç!A:D,4,1),0)</f>
        <v>90</v>
      </c>
    </row>
    <row r="53" spans="1:14" x14ac:dyDescent="0.2">
      <c r="A53" s="20">
        <v>4023</v>
      </c>
      <c r="B53" s="20" t="s">
        <v>221</v>
      </c>
      <c r="C53" s="20"/>
      <c r="D53" s="20">
        <v>7</v>
      </c>
      <c r="E53" s="20"/>
      <c r="F53" s="20">
        <f t="shared" si="1"/>
        <v>7</v>
      </c>
      <c r="G53" s="28">
        <f t="shared" si="2"/>
        <v>7.7777777777777779E-2</v>
      </c>
      <c r="H53" s="20"/>
      <c r="I53" s="20"/>
      <c r="J53" s="20"/>
      <c r="K53" s="20">
        <v>1</v>
      </c>
      <c r="L53" s="33">
        <f t="shared" si="4"/>
        <v>8</v>
      </c>
      <c r="M53" s="40">
        <f t="shared" si="3"/>
        <v>0.91111111111111109</v>
      </c>
      <c r="N53" s="33">
        <f>IFERROR(VLOOKUP(A53,Sonuç!A:D,4,1),0)</f>
        <v>90</v>
      </c>
    </row>
    <row r="54" spans="1:14" x14ac:dyDescent="0.2">
      <c r="A54" s="20">
        <v>4037</v>
      </c>
      <c r="B54" s="20" t="s">
        <v>223</v>
      </c>
      <c r="C54" s="20">
        <v>10</v>
      </c>
      <c r="D54" s="20"/>
      <c r="E54" s="20"/>
      <c r="F54" s="20">
        <f t="shared" si="1"/>
        <v>10</v>
      </c>
      <c r="G54" s="28">
        <f t="shared" si="2"/>
        <v>0.1111111111111111</v>
      </c>
      <c r="H54" s="20"/>
      <c r="I54" s="20"/>
      <c r="J54" s="20"/>
      <c r="K54" s="20"/>
      <c r="L54" s="33">
        <f t="shared" si="4"/>
        <v>10</v>
      </c>
      <c r="M54" s="40">
        <f t="shared" si="3"/>
        <v>0.88888888888888884</v>
      </c>
      <c r="N54" s="33">
        <f>IFERROR(VLOOKUP(A54,Sonuç!A:D,4,1),0)</f>
        <v>90</v>
      </c>
    </row>
    <row r="55" spans="1:14" x14ac:dyDescent="0.2">
      <c r="A55" s="20">
        <v>4059</v>
      </c>
      <c r="B55" s="20" t="s">
        <v>226</v>
      </c>
      <c r="C55" s="20"/>
      <c r="D55" s="20">
        <v>7</v>
      </c>
      <c r="E55" s="20"/>
      <c r="F55" s="20">
        <f t="shared" si="1"/>
        <v>7</v>
      </c>
      <c r="G55" s="28">
        <f t="shared" si="2"/>
        <v>7.7777777777777779E-2</v>
      </c>
      <c r="H55" s="20"/>
      <c r="I55" s="20"/>
      <c r="J55" s="20"/>
      <c r="K55" s="20"/>
      <c r="L55" s="33">
        <f t="shared" si="4"/>
        <v>7</v>
      </c>
      <c r="M55" s="40">
        <f t="shared" si="3"/>
        <v>0.92222222222222228</v>
      </c>
      <c r="N55" s="33">
        <f>IFERROR(VLOOKUP(A55,Sonuç!A:D,4,1),0)</f>
        <v>90</v>
      </c>
    </row>
    <row r="56" spans="1:14" x14ac:dyDescent="0.2">
      <c r="A56" s="20">
        <v>4102</v>
      </c>
      <c r="B56" s="20" t="s">
        <v>231</v>
      </c>
      <c r="C56" s="20"/>
      <c r="D56" s="20"/>
      <c r="E56" s="20"/>
      <c r="F56" s="20">
        <f t="shared" si="1"/>
        <v>0</v>
      </c>
      <c r="G56" s="28">
        <f t="shared" si="2"/>
        <v>0</v>
      </c>
      <c r="H56" s="20"/>
      <c r="I56" s="20">
        <v>1</v>
      </c>
      <c r="J56" s="20"/>
      <c r="K56" s="20"/>
      <c r="L56" s="33">
        <f t="shared" si="4"/>
        <v>1</v>
      </c>
      <c r="M56" s="40">
        <f t="shared" si="3"/>
        <v>0.98888888888888893</v>
      </c>
      <c r="N56" s="33">
        <f>IFERROR(VLOOKUP(A56,Sonuç!A:D,4,1),0)</f>
        <v>90</v>
      </c>
    </row>
    <row r="57" spans="1:14" x14ac:dyDescent="0.2">
      <c r="A57" s="20">
        <v>4111</v>
      </c>
      <c r="B57" s="20" t="s">
        <v>232</v>
      </c>
      <c r="C57" s="20"/>
      <c r="D57" s="20"/>
      <c r="E57" s="20"/>
      <c r="F57" s="20">
        <f t="shared" si="1"/>
        <v>0</v>
      </c>
      <c r="G57" s="28">
        <f t="shared" si="2"/>
        <v>0</v>
      </c>
      <c r="H57" s="20"/>
      <c r="I57" s="20">
        <v>15</v>
      </c>
      <c r="J57" s="20"/>
      <c r="K57" s="20"/>
      <c r="L57" s="33">
        <f t="shared" si="4"/>
        <v>15</v>
      </c>
      <c r="M57" s="40">
        <f t="shared" si="3"/>
        <v>0.83333333333333337</v>
      </c>
      <c r="N57" s="33">
        <f>IFERROR(VLOOKUP(A57,Sonuç!A:D,4,1),0)</f>
        <v>90</v>
      </c>
    </row>
    <row r="58" spans="1:14" x14ac:dyDescent="0.2">
      <c r="A58" s="20">
        <v>4119</v>
      </c>
      <c r="B58" s="20" t="s">
        <v>233</v>
      </c>
      <c r="C58" s="20"/>
      <c r="D58" s="20"/>
      <c r="E58" s="20"/>
      <c r="F58" s="20">
        <f t="shared" si="1"/>
        <v>0</v>
      </c>
      <c r="G58" s="28">
        <f t="shared" si="2"/>
        <v>0</v>
      </c>
      <c r="H58" s="20"/>
      <c r="I58" s="20">
        <v>4</v>
      </c>
      <c r="J58" s="20"/>
      <c r="K58" s="20"/>
      <c r="L58" s="33">
        <f t="shared" si="4"/>
        <v>4</v>
      </c>
      <c r="M58" s="40">
        <f t="shared" si="3"/>
        <v>0.9555555555555556</v>
      </c>
      <c r="N58" s="33">
        <f>IFERROR(VLOOKUP(A58,Sonuç!A:D,4,1),0)</f>
        <v>90</v>
      </c>
    </row>
    <row r="59" spans="1:14" x14ac:dyDescent="0.2">
      <c r="A59" s="20">
        <v>4165</v>
      </c>
      <c r="B59" s="20" t="s">
        <v>238</v>
      </c>
      <c r="C59" s="20"/>
      <c r="D59" s="20">
        <v>7</v>
      </c>
      <c r="E59" s="20"/>
      <c r="F59" s="20">
        <f t="shared" si="1"/>
        <v>7</v>
      </c>
      <c r="G59" s="28">
        <f t="shared" si="2"/>
        <v>7.7777777777777779E-2</v>
      </c>
      <c r="H59" s="20"/>
      <c r="I59" s="20">
        <v>5</v>
      </c>
      <c r="J59" s="20"/>
      <c r="K59" s="20"/>
      <c r="L59" s="33">
        <f t="shared" si="4"/>
        <v>12</v>
      </c>
      <c r="M59" s="40">
        <f t="shared" si="3"/>
        <v>0.8666666666666667</v>
      </c>
      <c r="N59" s="33">
        <f>IFERROR(VLOOKUP(A59,Sonuç!A:D,4,1),0)</f>
        <v>90</v>
      </c>
    </row>
    <row r="60" spans="1:14" x14ac:dyDescent="0.2">
      <c r="A60" s="20">
        <v>4236</v>
      </c>
      <c r="B60" s="20" t="s">
        <v>246</v>
      </c>
      <c r="C60" s="20"/>
      <c r="D60" s="20"/>
      <c r="E60" s="20"/>
      <c r="F60" s="20">
        <f t="shared" si="1"/>
        <v>0</v>
      </c>
      <c r="G60" s="28">
        <f t="shared" si="2"/>
        <v>0</v>
      </c>
      <c r="H60" s="20"/>
      <c r="I60" s="20">
        <v>2</v>
      </c>
      <c r="J60" s="20"/>
      <c r="K60" s="20"/>
      <c r="L60" s="33">
        <f t="shared" si="4"/>
        <v>2</v>
      </c>
      <c r="M60" s="40">
        <f t="shared" si="3"/>
        <v>0.97777777777777775</v>
      </c>
      <c r="N60" s="33">
        <f>IFERROR(VLOOKUP(A60,Sonuç!A:D,4,1),0)</f>
        <v>90</v>
      </c>
    </row>
    <row r="61" spans="1:14" x14ac:dyDescent="0.2">
      <c r="A61" s="20">
        <v>4244</v>
      </c>
      <c r="B61" s="20" t="s">
        <v>442</v>
      </c>
      <c r="C61" s="20"/>
      <c r="D61" s="20"/>
      <c r="E61" s="20"/>
      <c r="F61" s="20">
        <f t="shared" si="1"/>
        <v>0</v>
      </c>
      <c r="G61" s="28">
        <f t="shared" si="2"/>
        <v>0</v>
      </c>
      <c r="H61" s="20"/>
      <c r="I61" s="20">
        <v>5</v>
      </c>
      <c r="J61" s="20"/>
      <c r="K61" s="20"/>
      <c r="L61" s="33">
        <f t="shared" si="4"/>
        <v>5</v>
      </c>
      <c r="M61" s="40">
        <f t="shared" si="3"/>
        <v>0.94444444444444442</v>
      </c>
      <c r="N61" s="33">
        <f>IFERROR(VLOOKUP(A61,Sonuç!A:D,4,1),0)</f>
        <v>90</v>
      </c>
    </row>
    <row r="62" spans="1:14" x14ac:dyDescent="0.2">
      <c r="A62" s="20">
        <v>4262</v>
      </c>
      <c r="B62" s="20" t="s">
        <v>248</v>
      </c>
      <c r="C62" s="20"/>
      <c r="D62" s="20">
        <v>7</v>
      </c>
      <c r="E62" s="20"/>
      <c r="F62" s="20">
        <f t="shared" si="1"/>
        <v>7</v>
      </c>
      <c r="G62" s="28">
        <f t="shared" si="2"/>
        <v>7.7777777777777779E-2</v>
      </c>
      <c r="H62" s="20"/>
      <c r="I62" s="20">
        <v>7</v>
      </c>
      <c r="J62" s="20"/>
      <c r="K62" s="20"/>
      <c r="L62" s="33">
        <f t="shared" si="4"/>
        <v>14</v>
      </c>
      <c r="M62" s="40">
        <f t="shared" si="3"/>
        <v>0.84444444444444444</v>
      </c>
      <c r="N62" s="33">
        <f>IFERROR(VLOOKUP(A62,Sonuç!A:D,4,1),0)</f>
        <v>90</v>
      </c>
    </row>
    <row r="63" spans="1:14" x14ac:dyDescent="0.2">
      <c r="A63" s="20">
        <v>4264</v>
      </c>
      <c r="B63" s="20" t="s">
        <v>250</v>
      </c>
      <c r="C63" s="20"/>
      <c r="D63" s="20">
        <v>6</v>
      </c>
      <c r="E63" s="20"/>
      <c r="F63" s="20">
        <f t="shared" si="1"/>
        <v>6</v>
      </c>
      <c r="G63" s="28">
        <f t="shared" si="2"/>
        <v>6.6666666666666666E-2</v>
      </c>
      <c r="H63" s="20"/>
      <c r="I63" s="20"/>
      <c r="J63" s="20"/>
      <c r="K63" s="20"/>
      <c r="L63" s="33">
        <f t="shared" si="4"/>
        <v>6</v>
      </c>
      <c r="M63" s="40">
        <f t="shared" si="3"/>
        <v>0.93333333333333335</v>
      </c>
      <c r="N63" s="33">
        <f>IFERROR(VLOOKUP(A63,Sonuç!A:D,4,1),0)</f>
        <v>90</v>
      </c>
    </row>
    <row r="64" spans="1:14" x14ac:dyDescent="0.2">
      <c r="A64" s="20">
        <v>4284</v>
      </c>
      <c r="B64" s="20" t="s">
        <v>251</v>
      </c>
      <c r="C64" s="20"/>
      <c r="D64" s="20"/>
      <c r="E64" s="20"/>
      <c r="F64" s="20">
        <f t="shared" si="1"/>
        <v>0</v>
      </c>
      <c r="G64" s="28">
        <f t="shared" si="2"/>
        <v>0</v>
      </c>
      <c r="H64" s="20"/>
      <c r="I64" s="20"/>
      <c r="J64" s="20"/>
      <c r="K64" s="20">
        <v>3</v>
      </c>
      <c r="L64" s="33">
        <f t="shared" si="4"/>
        <v>3</v>
      </c>
      <c r="M64" s="40">
        <f t="shared" si="3"/>
        <v>0.96666666666666667</v>
      </c>
      <c r="N64" s="33">
        <f>IFERROR(VLOOKUP(A64,Sonuç!A:D,4,1),0)</f>
        <v>90</v>
      </c>
    </row>
    <row r="65" spans="1:14" x14ac:dyDescent="0.2">
      <c r="A65" s="20">
        <v>4295</v>
      </c>
      <c r="B65" s="20" t="s">
        <v>253</v>
      </c>
      <c r="C65" s="20"/>
      <c r="D65" s="20"/>
      <c r="E65" s="20"/>
      <c r="F65" s="20">
        <f t="shared" si="1"/>
        <v>0</v>
      </c>
      <c r="G65" s="28">
        <f t="shared" si="2"/>
        <v>0</v>
      </c>
      <c r="H65" s="20"/>
      <c r="I65" s="20">
        <v>3</v>
      </c>
      <c r="J65" s="20"/>
      <c r="K65" s="20"/>
      <c r="L65" s="33">
        <f t="shared" si="4"/>
        <v>3</v>
      </c>
      <c r="M65" s="40">
        <f t="shared" si="3"/>
        <v>0.96666666666666667</v>
      </c>
      <c r="N65" s="33">
        <f>IFERROR(VLOOKUP(A65,Sonuç!A:D,4,1),0)</f>
        <v>90</v>
      </c>
    </row>
    <row r="66" spans="1:14" x14ac:dyDescent="0.2">
      <c r="A66" s="20">
        <v>4298</v>
      </c>
      <c r="B66" s="20" t="s">
        <v>254</v>
      </c>
      <c r="C66" s="20"/>
      <c r="D66" s="20"/>
      <c r="E66" s="20"/>
      <c r="F66" s="20">
        <f t="shared" si="1"/>
        <v>0</v>
      </c>
      <c r="G66" s="28">
        <f t="shared" si="2"/>
        <v>0</v>
      </c>
      <c r="H66" s="20"/>
      <c r="I66" s="20">
        <v>1</v>
      </c>
      <c r="J66" s="20"/>
      <c r="K66" s="20"/>
      <c r="L66" s="33">
        <f t="shared" ref="L66:L97" si="5">C66+D66+E66+H66+I66+J66+K66</f>
        <v>1</v>
      </c>
      <c r="M66" s="40">
        <f t="shared" si="3"/>
        <v>0.98888888888888893</v>
      </c>
      <c r="N66" s="33">
        <f>IFERROR(VLOOKUP(A66,Sonuç!A:D,4,1),0)</f>
        <v>90</v>
      </c>
    </row>
    <row r="67" spans="1:14" x14ac:dyDescent="0.2">
      <c r="A67" s="20">
        <v>4321</v>
      </c>
      <c r="B67" s="20" t="s">
        <v>259</v>
      </c>
      <c r="C67" s="20"/>
      <c r="D67" s="20">
        <v>6</v>
      </c>
      <c r="E67" s="20"/>
      <c r="F67" s="20">
        <f t="shared" ref="F67:F111" si="6">C67+D67+E67</f>
        <v>6</v>
      </c>
      <c r="G67" s="28">
        <f t="shared" ref="G67:G111" si="7">F67/90</f>
        <v>6.6666666666666666E-2</v>
      </c>
      <c r="H67" s="20"/>
      <c r="I67" s="20"/>
      <c r="J67" s="20"/>
      <c r="K67" s="20"/>
      <c r="L67" s="33">
        <f t="shared" si="5"/>
        <v>6</v>
      </c>
      <c r="M67" s="40">
        <f t="shared" ref="M67:M111" si="8">(N67-L67)/N67</f>
        <v>0.93333333333333335</v>
      </c>
      <c r="N67" s="33">
        <f>IFERROR(VLOOKUP(A67,Sonuç!A:D,4,1),0)</f>
        <v>90</v>
      </c>
    </row>
    <row r="68" spans="1:14" x14ac:dyDescent="0.2">
      <c r="A68" s="20">
        <v>4330</v>
      </c>
      <c r="B68" s="20" t="s">
        <v>260</v>
      </c>
      <c r="C68" s="20"/>
      <c r="D68" s="20">
        <v>7</v>
      </c>
      <c r="E68" s="20"/>
      <c r="F68" s="20">
        <f t="shared" si="6"/>
        <v>7</v>
      </c>
      <c r="G68" s="28">
        <f t="shared" si="7"/>
        <v>7.7777777777777779E-2</v>
      </c>
      <c r="H68" s="20"/>
      <c r="I68" s="20">
        <v>1</v>
      </c>
      <c r="J68" s="20"/>
      <c r="K68" s="20"/>
      <c r="L68" s="33">
        <f t="shared" si="5"/>
        <v>8</v>
      </c>
      <c r="M68" s="40">
        <f t="shared" si="8"/>
        <v>0.91111111111111109</v>
      </c>
      <c r="N68" s="33">
        <f>IFERROR(VLOOKUP(A68,Sonuç!A:D,4,1),0)</f>
        <v>90</v>
      </c>
    </row>
    <row r="69" spans="1:14" x14ac:dyDescent="0.2">
      <c r="A69" s="20">
        <v>4337</v>
      </c>
      <c r="B69" s="20" t="s">
        <v>261</v>
      </c>
      <c r="C69" s="20"/>
      <c r="D69" s="20">
        <v>6</v>
      </c>
      <c r="E69" s="20"/>
      <c r="F69" s="20">
        <f t="shared" si="6"/>
        <v>6</v>
      </c>
      <c r="G69" s="28">
        <f t="shared" si="7"/>
        <v>6.6666666666666666E-2</v>
      </c>
      <c r="H69" s="20"/>
      <c r="I69" s="20"/>
      <c r="J69" s="20"/>
      <c r="K69" s="20"/>
      <c r="L69" s="33">
        <f t="shared" si="5"/>
        <v>6</v>
      </c>
      <c r="M69" s="40">
        <f t="shared" si="8"/>
        <v>0.93333333333333335</v>
      </c>
      <c r="N69" s="33">
        <f>IFERROR(VLOOKUP(A69,Sonuç!A:D,4,1),0)</f>
        <v>90</v>
      </c>
    </row>
    <row r="70" spans="1:14" x14ac:dyDescent="0.2">
      <c r="A70" s="20">
        <v>4353</v>
      </c>
      <c r="B70" s="20" t="s">
        <v>263</v>
      </c>
      <c r="C70" s="20"/>
      <c r="D70" s="20"/>
      <c r="E70" s="20"/>
      <c r="F70" s="20">
        <f t="shared" si="6"/>
        <v>0</v>
      </c>
      <c r="G70" s="28">
        <f t="shared" si="7"/>
        <v>0</v>
      </c>
      <c r="H70" s="20"/>
      <c r="I70" s="20">
        <v>7</v>
      </c>
      <c r="J70" s="20"/>
      <c r="K70" s="20"/>
      <c r="L70" s="33">
        <f t="shared" si="5"/>
        <v>7</v>
      </c>
      <c r="M70" s="40">
        <f t="shared" si="8"/>
        <v>0.92222222222222228</v>
      </c>
      <c r="N70" s="33">
        <f>IFERROR(VLOOKUP(A70,Sonuç!A:D,4,1),0)</f>
        <v>90</v>
      </c>
    </row>
    <row r="71" spans="1:14" x14ac:dyDescent="0.2">
      <c r="A71" s="20">
        <v>4373</v>
      </c>
      <c r="B71" s="20" t="s">
        <v>266</v>
      </c>
      <c r="C71" s="20">
        <v>76</v>
      </c>
      <c r="D71" s="20"/>
      <c r="E71" s="20"/>
      <c r="F71" s="20">
        <f t="shared" si="6"/>
        <v>76</v>
      </c>
      <c r="G71" s="28">
        <f t="shared" si="7"/>
        <v>0.84444444444444444</v>
      </c>
      <c r="H71" s="20"/>
      <c r="I71" s="20"/>
      <c r="J71" s="20"/>
      <c r="K71" s="20"/>
      <c r="L71" s="33">
        <f t="shared" si="5"/>
        <v>76</v>
      </c>
      <c r="M71" s="40">
        <f t="shared" si="8"/>
        <v>0.15555555555555556</v>
      </c>
      <c r="N71" s="33">
        <f>IFERROR(VLOOKUP(A71,Sonuç!A:D,4,1),0)</f>
        <v>90</v>
      </c>
    </row>
    <row r="72" spans="1:14" x14ac:dyDescent="0.2">
      <c r="A72" s="20">
        <v>4380</v>
      </c>
      <c r="B72" s="20" t="s">
        <v>443</v>
      </c>
      <c r="C72" s="20"/>
      <c r="D72" s="20">
        <v>7</v>
      </c>
      <c r="E72" s="20"/>
      <c r="F72" s="20">
        <f t="shared" si="6"/>
        <v>7</v>
      </c>
      <c r="G72" s="28">
        <f t="shared" si="7"/>
        <v>7.7777777777777779E-2</v>
      </c>
      <c r="H72" s="20"/>
      <c r="I72" s="20"/>
      <c r="J72" s="20"/>
      <c r="K72" s="20"/>
      <c r="L72" s="33">
        <f t="shared" si="5"/>
        <v>7</v>
      </c>
      <c r="M72" s="40">
        <f t="shared" si="8"/>
        <v>0.92222222222222228</v>
      </c>
      <c r="N72" s="33">
        <f>IFERROR(VLOOKUP(A72,Sonuç!A:D,4,1),0)</f>
        <v>90</v>
      </c>
    </row>
    <row r="73" spans="1:14" x14ac:dyDescent="0.2">
      <c r="A73" s="20">
        <v>4402</v>
      </c>
      <c r="B73" s="20" t="s">
        <v>268</v>
      </c>
      <c r="C73" s="20"/>
      <c r="D73" s="20"/>
      <c r="E73" s="20"/>
      <c r="F73" s="20">
        <f t="shared" si="6"/>
        <v>0</v>
      </c>
      <c r="G73" s="28">
        <f t="shared" si="7"/>
        <v>0</v>
      </c>
      <c r="H73" s="20"/>
      <c r="I73" s="20">
        <v>5</v>
      </c>
      <c r="J73" s="20"/>
      <c r="K73" s="20">
        <v>1</v>
      </c>
      <c r="L73" s="33">
        <f t="shared" si="5"/>
        <v>6</v>
      </c>
      <c r="M73" s="40">
        <f t="shared" si="8"/>
        <v>0.93333333333333335</v>
      </c>
      <c r="N73" s="33">
        <f>IFERROR(VLOOKUP(A73,Sonuç!A:D,4,1),0)</f>
        <v>90</v>
      </c>
    </row>
    <row r="74" spans="1:14" x14ac:dyDescent="0.2">
      <c r="A74" s="20">
        <v>4424</v>
      </c>
      <c r="B74" s="20" t="s">
        <v>272</v>
      </c>
      <c r="C74" s="20"/>
      <c r="D74" s="20">
        <v>6</v>
      </c>
      <c r="E74" s="20"/>
      <c r="F74" s="20">
        <f t="shared" si="6"/>
        <v>6</v>
      </c>
      <c r="G74" s="28">
        <f t="shared" si="7"/>
        <v>6.6666666666666666E-2</v>
      </c>
      <c r="H74" s="20"/>
      <c r="I74" s="20">
        <v>2</v>
      </c>
      <c r="J74" s="20"/>
      <c r="K74" s="20"/>
      <c r="L74" s="33">
        <f t="shared" si="5"/>
        <v>8</v>
      </c>
      <c r="M74" s="40">
        <f t="shared" si="8"/>
        <v>0.91111111111111109</v>
      </c>
      <c r="N74" s="33">
        <f>IFERROR(VLOOKUP(A74,Sonuç!A:D,4,1),0)</f>
        <v>90</v>
      </c>
    </row>
    <row r="75" spans="1:14" x14ac:dyDescent="0.2">
      <c r="A75" s="20">
        <v>4805</v>
      </c>
      <c r="B75" s="20" t="s">
        <v>290</v>
      </c>
      <c r="C75" s="20"/>
      <c r="D75" s="20">
        <v>6</v>
      </c>
      <c r="E75" s="20"/>
      <c r="F75" s="20">
        <f t="shared" si="6"/>
        <v>6</v>
      </c>
      <c r="G75" s="28">
        <f t="shared" si="7"/>
        <v>6.6666666666666666E-2</v>
      </c>
      <c r="H75" s="20"/>
      <c r="I75" s="20">
        <v>2</v>
      </c>
      <c r="J75" s="20"/>
      <c r="K75" s="20"/>
      <c r="L75" s="33">
        <f t="shared" si="5"/>
        <v>8</v>
      </c>
      <c r="M75" s="40">
        <f t="shared" si="8"/>
        <v>0.91111111111111109</v>
      </c>
      <c r="N75" s="33">
        <f>IFERROR(VLOOKUP(A75,Sonuç!A:D,4,1),0)</f>
        <v>90</v>
      </c>
    </row>
    <row r="76" spans="1:14" x14ac:dyDescent="0.2">
      <c r="A76" s="20">
        <v>5039</v>
      </c>
      <c r="B76" s="20" t="s">
        <v>294</v>
      </c>
      <c r="C76" s="20"/>
      <c r="D76" s="20">
        <v>7</v>
      </c>
      <c r="E76" s="20"/>
      <c r="F76" s="20">
        <f t="shared" si="6"/>
        <v>7</v>
      </c>
      <c r="G76" s="28">
        <f t="shared" si="7"/>
        <v>7.7777777777777779E-2</v>
      </c>
      <c r="H76" s="20"/>
      <c r="I76" s="20">
        <v>11</v>
      </c>
      <c r="J76" s="20"/>
      <c r="K76" s="20">
        <v>1</v>
      </c>
      <c r="L76" s="33">
        <f t="shared" si="5"/>
        <v>19</v>
      </c>
      <c r="M76" s="40">
        <f t="shared" si="8"/>
        <v>0.78888888888888886</v>
      </c>
      <c r="N76" s="33">
        <f>IFERROR(VLOOKUP(A76,Sonuç!A:D,4,1),0)</f>
        <v>90</v>
      </c>
    </row>
    <row r="77" spans="1:14" x14ac:dyDescent="0.2">
      <c r="A77" s="20">
        <v>5041</v>
      </c>
      <c r="B77" s="20" t="s">
        <v>295</v>
      </c>
      <c r="C77" s="20"/>
      <c r="D77" s="20"/>
      <c r="E77" s="20"/>
      <c r="F77" s="20">
        <f t="shared" si="6"/>
        <v>0</v>
      </c>
      <c r="G77" s="28">
        <f t="shared" si="7"/>
        <v>0</v>
      </c>
      <c r="H77" s="20"/>
      <c r="I77" s="20">
        <v>3</v>
      </c>
      <c r="J77" s="20"/>
      <c r="K77" s="20"/>
      <c r="L77" s="33">
        <f t="shared" si="5"/>
        <v>3</v>
      </c>
      <c r="M77" s="40">
        <f t="shared" si="8"/>
        <v>0.96666666666666667</v>
      </c>
      <c r="N77" s="33">
        <f>IFERROR(VLOOKUP(A77,Sonuç!A:D,4,1),0)</f>
        <v>90</v>
      </c>
    </row>
    <row r="78" spans="1:14" x14ac:dyDescent="0.2">
      <c r="A78" s="20">
        <v>5045</v>
      </c>
      <c r="B78" s="20" t="s">
        <v>296</v>
      </c>
      <c r="C78" s="20"/>
      <c r="D78" s="20">
        <v>7</v>
      </c>
      <c r="E78" s="20"/>
      <c r="F78" s="20">
        <f t="shared" si="6"/>
        <v>7</v>
      </c>
      <c r="G78" s="28">
        <f t="shared" si="7"/>
        <v>7.7777777777777779E-2</v>
      </c>
      <c r="H78" s="20"/>
      <c r="I78" s="20"/>
      <c r="J78" s="20"/>
      <c r="K78" s="20"/>
      <c r="L78" s="33">
        <f t="shared" si="5"/>
        <v>7</v>
      </c>
      <c r="M78" s="40">
        <f t="shared" si="8"/>
        <v>0.92222222222222228</v>
      </c>
      <c r="N78" s="33">
        <f>IFERROR(VLOOKUP(A78,Sonuç!A:D,4,1),0)</f>
        <v>90</v>
      </c>
    </row>
    <row r="79" spans="1:14" x14ac:dyDescent="0.2">
      <c r="A79" s="20">
        <v>5046</v>
      </c>
      <c r="B79" s="20" t="s">
        <v>297</v>
      </c>
      <c r="C79" s="20"/>
      <c r="D79" s="20"/>
      <c r="E79" s="20"/>
      <c r="F79" s="20">
        <f t="shared" si="6"/>
        <v>0</v>
      </c>
      <c r="G79" s="28">
        <f t="shared" si="7"/>
        <v>0</v>
      </c>
      <c r="H79" s="20"/>
      <c r="I79" s="20">
        <v>3</v>
      </c>
      <c r="J79" s="20"/>
      <c r="K79" s="20"/>
      <c r="L79" s="33">
        <f t="shared" si="5"/>
        <v>3</v>
      </c>
      <c r="M79" s="40">
        <f t="shared" si="8"/>
        <v>0.96666666666666667</v>
      </c>
      <c r="N79" s="33">
        <f>IFERROR(VLOOKUP(A79,Sonuç!A:D,4,1),0)</f>
        <v>90</v>
      </c>
    </row>
    <row r="80" spans="1:14" x14ac:dyDescent="0.2">
      <c r="A80" s="20">
        <v>5055</v>
      </c>
      <c r="B80" s="20" t="s">
        <v>298</v>
      </c>
      <c r="C80" s="20"/>
      <c r="D80" s="20"/>
      <c r="E80" s="20"/>
      <c r="F80" s="20">
        <f t="shared" si="6"/>
        <v>0</v>
      </c>
      <c r="G80" s="28">
        <f t="shared" si="7"/>
        <v>0</v>
      </c>
      <c r="H80" s="20"/>
      <c r="I80" s="20">
        <v>10</v>
      </c>
      <c r="J80" s="20"/>
      <c r="K80" s="20"/>
      <c r="L80" s="33">
        <f t="shared" si="5"/>
        <v>10</v>
      </c>
      <c r="M80" s="40">
        <f t="shared" si="8"/>
        <v>0.88888888888888884</v>
      </c>
      <c r="N80" s="33">
        <f>IFERROR(VLOOKUP(A80,Sonuç!A:D,4,1),0)</f>
        <v>90</v>
      </c>
    </row>
    <row r="81" spans="1:14" x14ac:dyDescent="0.2">
      <c r="A81" s="20">
        <v>5078</v>
      </c>
      <c r="B81" s="20" t="s">
        <v>301</v>
      </c>
      <c r="C81" s="20"/>
      <c r="D81" s="20"/>
      <c r="E81" s="20"/>
      <c r="F81" s="20">
        <f t="shared" si="6"/>
        <v>0</v>
      </c>
      <c r="G81" s="28">
        <f t="shared" si="7"/>
        <v>0</v>
      </c>
      <c r="H81" s="20"/>
      <c r="I81" s="20">
        <v>6</v>
      </c>
      <c r="J81" s="20"/>
      <c r="K81" s="20">
        <v>5</v>
      </c>
      <c r="L81" s="33">
        <f t="shared" si="5"/>
        <v>11</v>
      </c>
      <c r="M81" s="40">
        <f t="shared" si="8"/>
        <v>0.87777777777777777</v>
      </c>
      <c r="N81" s="33">
        <f>IFERROR(VLOOKUP(A81,Sonuç!A:D,4,1),0)</f>
        <v>90</v>
      </c>
    </row>
    <row r="82" spans="1:14" x14ac:dyDescent="0.2">
      <c r="A82" s="20">
        <v>5084</v>
      </c>
      <c r="B82" s="20" t="s">
        <v>303</v>
      </c>
      <c r="C82" s="20"/>
      <c r="D82" s="20"/>
      <c r="E82" s="20"/>
      <c r="F82" s="20">
        <f t="shared" si="6"/>
        <v>0</v>
      </c>
      <c r="G82" s="28">
        <f t="shared" si="7"/>
        <v>0</v>
      </c>
      <c r="H82" s="20"/>
      <c r="I82" s="20">
        <v>4</v>
      </c>
      <c r="J82" s="20"/>
      <c r="K82" s="20">
        <v>1</v>
      </c>
      <c r="L82" s="33">
        <f t="shared" si="5"/>
        <v>5</v>
      </c>
      <c r="M82" s="40">
        <f t="shared" si="8"/>
        <v>0.94444444444444442</v>
      </c>
      <c r="N82" s="33">
        <f>IFERROR(VLOOKUP(A82,Sonuç!A:D,4,1),0)</f>
        <v>90</v>
      </c>
    </row>
    <row r="83" spans="1:14" x14ac:dyDescent="0.2">
      <c r="A83" s="20">
        <v>5092</v>
      </c>
      <c r="B83" s="20" t="s">
        <v>304</v>
      </c>
      <c r="C83" s="20"/>
      <c r="D83" s="20"/>
      <c r="E83" s="20"/>
      <c r="F83" s="20">
        <f t="shared" si="6"/>
        <v>0</v>
      </c>
      <c r="G83" s="28">
        <f t="shared" si="7"/>
        <v>0</v>
      </c>
      <c r="H83" s="20"/>
      <c r="I83" s="20">
        <v>3</v>
      </c>
      <c r="J83" s="20"/>
      <c r="K83" s="20">
        <v>1</v>
      </c>
      <c r="L83" s="33">
        <f t="shared" si="5"/>
        <v>4</v>
      </c>
      <c r="M83" s="40">
        <f t="shared" si="8"/>
        <v>0.9555555555555556</v>
      </c>
      <c r="N83" s="33">
        <f>IFERROR(VLOOKUP(A83,Sonuç!A:D,4,1),0)</f>
        <v>90</v>
      </c>
    </row>
    <row r="84" spans="1:14" x14ac:dyDescent="0.2">
      <c r="A84" s="20">
        <v>5125</v>
      </c>
      <c r="B84" s="20" t="s">
        <v>307</v>
      </c>
      <c r="C84" s="20"/>
      <c r="D84" s="20"/>
      <c r="E84" s="20"/>
      <c r="F84" s="20">
        <f t="shared" si="6"/>
        <v>0</v>
      </c>
      <c r="G84" s="28">
        <f t="shared" si="7"/>
        <v>0</v>
      </c>
      <c r="H84" s="20"/>
      <c r="I84" s="20">
        <v>3</v>
      </c>
      <c r="J84" s="20"/>
      <c r="K84" s="20"/>
      <c r="L84" s="33">
        <f t="shared" si="5"/>
        <v>3</v>
      </c>
      <c r="M84" s="40">
        <f t="shared" si="8"/>
        <v>0.96666666666666667</v>
      </c>
      <c r="N84" s="33">
        <f>IFERROR(VLOOKUP(A84,Sonuç!A:D,4,1),0)</f>
        <v>90</v>
      </c>
    </row>
    <row r="85" spans="1:14" x14ac:dyDescent="0.2">
      <c r="A85" s="20">
        <v>5129</v>
      </c>
      <c r="B85" s="20" t="s">
        <v>310</v>
      </c>
      <c r="C85" s="20"/>
      <c r="D85" s="20">
        <v>5</v>
      </c>
      <c r="E85" s="20"/>
      <c r="F85" s="20">
        <f t="shared" si="6"/>
        <v>5</v>
      </c>
      <c r="G85" s="28">
        <f t="shared" si="7"/>
        <v>5.5555555555555552E-2</v>
      </c>
      <c r="H85" s="20"/>
      <c r="I85" s="20"/>
      <c r="J85" s="20"/>
      <c r="K85" s="20"/>
      <c r="L85" s="33">
        <f t="shared" si="5"/>
        <v>5</v>
      </c>
      <c r="M85" s="40">
        <f t="shared" si="8"/>
        <v>0.94444444444444442</v>
      </c>
      <c r="N85" s="33">
        <f>IFERROR(VLOOKUP(A85,Sonuç!A:D,4,1),0)</f>
        <v>90</v>
      </c>
    </row>
    <row r="86" spans="1:14" x14ac:dyDescent="0.2">
      <c r="A86" s="20">
        <v>5132</v>
      </c>
      <c r="B86" s="20" t="s">
        <v>311</v>
      </c>
      <c r="C86" s="20"/>
      <c r="D86" s="20">
        <v>7</v>
      </c>
      <c r="E86" s="20"/>
      <c r="F86" s="20">
        <f t="shared" si="6"/>
        <v>7</v>
      </c>
      <c r="G86" s="28">
        <f t="shared" si="7"/>
        <v>7.7777777777777779E-2</v>
      </c>
      <c r="H86" s="20"/>
      <c r="I86" s="20">
        <v>3</v>
      </c>
      <c r="J86" s="20"/>
      <c r="K86" s="20">
        <v>1</v>
      </c>
      <c r="L86" s="33">
        <f t="shared" si="5"/>
        <v>11</v>
      </c>
      <c r="M86" s="40">
        <f t="shared" si="8"/>
        <v>0.87777777777777777</v>
      </c>
      <c r="N86" s="33">
        <f>IFERROR(VLOOKUP(A86,Sonuç!A:D,4,1),0)</f>
        <v>90</v>
      </c>
    </row>
    <row r="87" spans="1:14" x14ac:dyDescent="0.2">
      <c r="A87" s="20">
        <v>5164</v>
      </c>
      <c r="B87" s="20" t="s">
        <v>312</v>
      </c>
      <c r="C87" s="20"/>
      <c r="D87" s="20"/>
      <c r="E87" s="20"/>
      <c r="F87" s="20">
        <f t="shared" si="6"/>
        <v>0</v>
      </c>
      <c r="G87" s="28">
        <f t="shared" si="7"/>
        <v>0</v>
      </c>
      <c r="H87" s="20"/>
      <c r="I87" s="20"/>
      <c r="J87" s="20"/>
      <c r="K87" s="20">
        <v>1</v>
      </c>
      <c r="L87" s="33">
        <f t="shared" si="5"/>
        <v>1</v>
      </c>
      <c r="M87" s="40">
        <f t="shared" si="8"/>
        <v>0.98888888888888893</v>
      </c>
      <c r="N87" s="33">
        <f>IFERROR(VLOOKUP(A87,Sonuç!A:D,4,1),0)</f>
        <v>90</v>
      </c>
    </row>
    <row r="88" spans="1:14" x14ac:dyDescent="0.2">
      <c r="A88" s="20">
        <v>5175</v>
      </c>
      <c r="B88" s="20" t="s">
        <v>313</v>
      </c>
      <c r="C88" s="20"/>
      <c r="D88" s="20"/>
      <c r="E88" s="20"/>
      <c r="F88" s="20">
        <f t="shared" si="6"/>
        <v>0</v>
      </c>
      <c r="G88" s="28">
        <f t="shared" si="7"/>
        <v>0</v>
      </c>
      <c r="H88" s="20"/>
      <c r="I88" s="20"/>
      <c r="J88" s="20"/>
      <c r="K88" s="20">
        <v>2</v>
      </c>
      <c r="L88" s="33">
        <f t="shared" si="5"/>
        <v>2</v>
      </c>
      <c r="M88" s="40">
        <f t="shared" si="8"/>
        <v>0.97777777777777775</v>
      </c>
      <c r="N88" s="33">
        <f>IFERROR(VLOOKUP(A88,Sonuç!A:D,4,1),0)</f>
        <v>90</v>
      </c>
    </row>
    <row r="89" spans="1:14" x14ac:dyDescent="0.2">
      <c r="A89" s="20">
        <v>5176</v>
      </c>
      <c r="B89" s="20" t="s">
        <v>314</v>
      </c>
      <c r="C89" s="20"/>
      <c r="D89" s="20"/>
      <c r="E89" s="20"/>
      <c r="F89" s="20">
        <f t="shared" si="6"/>
        <v>0</v>
      </c>
      <c r="G89" s="28">
        <f t="shared" si="7"/>
        <v>0</v>
      </c>
      <c r="H89" s="20"/>
      <c r="I89" s="20">
        <v>3</v>
      </c>
      <c r="J89" s="20"/>
      <c r="K89" s="20"/>
      <c r="L89" s="33">
        <f t="shared" si="5"/>
        <v>3</v>
      </c>
      <c r="M89" s="40">
        <f t="shared" si="8"/>
        <v>0.96666666666666667</v>
      </c>
      <c r="N89" s="33">
        <f>IFERROR(VLOOKUP(A89,Sonuç!A:D,4,1),0)</f>
        <v>90</v>
      </c>
    </row>
    <row r="90" spans="1:14" x14ac:dyDescent="0.2">
      <c r="A90" s="20">
        <v>5186</v>
      </c>
      <c r="B90" s="20" t="s">
        <v>316</v>
      </c>
      <c r="C90" s="20"/>
      <c r="D90" s="20"/>
      <c r="E90" s="20"/>
      <c r="F90" s="20">
        <f t="shared" si="6"/>
        <v>0</v>
      </c>
      <c r="G90" s="28">
        <f t="shared" si="7"/>
        <v>0</v>
      </c>
      <c r="H90" s="20"/>
      <c r="I90" s="20"/>
      <c r="J90" s="20"/>
      <c r="K90" s="20">
        <v>1</v>
      </c>
      <c r="L90" s="33">
        <f t="shared" si="5"/>
        <v>1</v>
      </c>
      <c r="M90" s="40">
        <f t="shared" si="8"/>
        <v>0.98888888888888893</v>
      </c>
      <c r="N90" s="33">
        <f>IFERROR(VLOOKUP(A90,Sonuç!A:D,4,1),0)</f>
        <v>90</v>
      </c>
    </row>
    <row r="91" spans="1:14" x14ac:dyDescent="0.2">
      <c r="A91" s="20">
        <v>5203</v>
      </c>
      <c r="B91" s="20" t="s">
        <v>319</v>
      </c>
      <c r="C91" s="20"/>
      <c r="D91" s="20"/>
      <c r="E91" s="20"/>
      <c r="F91" s="20">
        <f t="shared" si="6"/>
        <v>0</v>
      </c>
      <c r="G91" s="28">
        <f t="shared" si="7"/>
        <v>0</v>
      </c>
      <c r="H91" s="20"/>
      <c r="I91" s="20"/>
      <c r="J91" s="20"/>
      <c r="K91" s="20">
        <v>1</v>
      </c>
      <c r="L91" s="33">
        <f t="shared" si="5"/>
        <v>1</v>
      </c>
      <c r="M91" s="40">
        <f t="shared" si="8"/>
        <v>0.98888888888888893</v>
      </c>
      <c r="N91" s="33">
        <f>IFERROR(VLOOKUP(A91,Sonuç!A:D,4,1),0)</f>
        <v>90</v>
      </c>
    </row>
    <row r="92" spans="1:14" x14ac:dyDescent="0.2">
      <c r="A92" s="20">
        <v>5220</v>
      </c>
      <c r="B92" s="20" t="s">
        <v>321</v>
      </c>
      <c r="C92" s="20"/>
      <c r="D92" s="20"/>
      <c r="E92" s="20"/>
      <c r="F92" s="20">
        <f t="shared" si="6"/>
        <v>0</v>
      </c>
      <c r="G92" s="28">
        <f t="shared" si="7"/>
        <v>0</v>
      </c>
      <c r="H92" s="20"/>
      <c r="I92" s="20"/>
      <c r="J92" s="20"/>
      <c r="K92" s="20">
        <v>1</v>
      </c>
      <c r="L92" s="33">
        <f t="shared" si="5"/>
        <v>1</v>
      </c>
      <c r="M92" s="40">
        <f t="shared" si="8"/>
        <v>0.98888888888888893</v>
      </c>
      <c r="N92" s="33">
        <f>IFERROR(VLOOKUP(A92,Sonuç!A:D,4,1),0)</f>
        <v>90</v>
      </c>
    </row>
    <row r="93" spans="1:14" x14ac:dyDescent="0.2">
      <c r="A93" s="20">
        <v>5242</v>
      </c>
      <c r="B93" s="20" t="s">
        <v>322</v>
      </c>
      <c r="C93" s="20"/>
      <c r="D93" s="20">
        <v>7</v>
      </c>
      <c r="E93" s="20"/>
      <c r="F93" s="20">
        <f t="shared" si="6"/>
        <v>7</v>
      </c>
      <c r="G93" s="28">
        <f t="shared" si="7"/>
        <v>7.7777777777777779E-2</v>
      </c>
      <c r="H93" s="20"/>
      <c r="I93" s="20">
        <v>3</v>
      </c>
      <c r="J93" s="20"/>
      <c r="K93" s="20"/>
      <c r="L93" s="33">
        <f t="shared" si="5"/>
        <v>10</v>
      </c>
      <c r="M93" s="40">
        <f t="shared" si="8"/>
        <v>0.88888888888888884</v>
      </c>
      <c r="N93" s="33">
        <f>IFERROR(VLOOKUP(A93,Sonuç!A:D,4,1),0)</f>
        <v>90</v>
      </c>
    </row>
    <row r="94" spans="1:14" x14ac:dyDescent="0.2">
      <c r="A94" s="20">
        <v>5243</v>
      </c>
      <c r="B94" s="20" t="s">
        <v>323</v>
      </c>
      <c r="C94" s="20"/>
      <c r="D94" s="20">
        <v>12</v>
      </c>
      <c r="E94" s="20"/>
      <c r="F94" s="20">
        <f t="shared" si="6"/>
        <v>12</v>
      </c>
      <c r="G94" s="28">
        <f t="shared" si="7"/>
        <v>0.13333333333333333</v>
      </c>
      <c r="H94" s="20"/>
      <c r="I94" s="20"/>
      <c r="J94" s="20"/>
      <c r="K94" s="20">
        <v>1</v>
      </c>
      <c r="L94" s="33">
        <f t="shared" si="5"/>
        <v>13</v>
      </c>
      <c r="M94" s="40">
        <f t="shared" si="8"/>
        <v>0.85555555555555551</v>
      </c>
      <c r="N94" s="33">
        <f>IFERROR(VLOOKUP(A94,Sonuç!A:D,4,1),0)</f>
        <v>90</v>
      </c>
    </row>
    <row r="95" spans="1:14" x14ac:dyDescent="0.2">
      <c r="A95" s="20">
        <v>5244</v>
      </c>
      <c r="B95" s="20" t="s">
        <v>324</v>
      </c>
      <c r="C95" s="20"/>
      <c r="D95" s="20"/>
      <c r="E95" s="20"/>
      <c r="F95" s="20">
        <f t="shared" si="6"/>
        <v>0</v>
      </c>
      <c r="G95" s="28">
        <f t="shared" si="7"/>
        <v>0</v>
      </c>
      <c r="H95" s="20"/>
      <c r="I95" s="20"/>
      <c r="J95" s="20"/>
      <c r="K95" s="20">
        <v>1</v>
      </c>
      <c r="L95" s="33">
        <f t="shared" si="5"/>
        <v>1</v>
      </c>
      <c r="M95" s="40">
        <f t="shared" si="8"/>
        <v>0.98888888888888893</v>
      </c>
      <c r="N95" s="33">
        <f>IFERROR(VLOOKUP(A95,Sonuç!A:D,4,1),0)</f>
        <v>90</v>
      </c>
    </row>
    <row r="96" spans="1:14" x14ac:dyDescent="0.2">
      <c r="A96" s="20">
        <v>5245</v>
      </c>
      <c r="B96" s="20" t="s">
        <v>325</v>
      </c>
      <c r="C96" s="20"/>
      <c r="D96" s="20"/>
      <c r="E96" s="20"/>
      <c r="F96" s="20">
        <f t="shared" si="6"/>
        <v>0</v>
      </c>
      <c r="G96" s="28">
        <f t="shared" si="7"/>
        <v>0</v>
      </c>
      <c r="H96" s="20"/>
      <c r="I96" s="20">
        <v>4</v>
      </c>
      <c r="J96" s="20"/>
      <c r="K96" s="20">
        <v>2</v>
      </c>
      <c r="L96" s="33">
        <f t="shared" si="5"/>
        <v>6</v>
      </c>
      <c r="M96" s="40">
        <f t="shared" si="8"/>
        <v>0.93333333333333335</v>
      </c>
      <c r="N96" s="33">
        <f>IFERROR(VLOOKUP(A96,Sonuç!A:D,4,1),0)</f>
        <v>90</v>
      </c>
    </row>
    <row r="97" spans="1:14" x14ac:dyDescent="0.2">
      <c r="A97" s="20">
        <v>5262</v>
      </c>
      <c r="B97" s="20" t="s">
        <v>326</v>
      </c>
      <c r="C97" s="20"/>
      <c r="D97" s="20"/>
      <c r="E97" s="20"/>
      <c r="F97" s="20">
        <f t="shared" si="6"/>
        <v>0</v>
      </c>
      <c r="G97" s="28">
        <f t="shared" si="7"/>
        <v>0</v>
      </c>
      <c r="H97" s="20"/>
      <c r="I97" s="20">
        <v>7</v>
      </c>
      <c r="J97" s="20"/>
      <c r="K97" s="20">
        <v>1</v>
      </c>
      <c r="L97" s="33">
        <f t="shared" si="5"/>
        <v>8</v>
      </c>
      <c r="M97" s="40">
        <f t="shared" si="8"/>
        <v>0.90804597701149425</v>
      </c>
      <c r="N97" s="33">
        <f>IFERROR(VLOOKUP(A97,Sonuç!A:D,4,1),0)</f>
        <v>87</v>
      </c>
    </row>
    <row r="98" spans="1:14" x14ac:dyDescent="0.2">
      <c r="A98" s="20">
        <v>5265</v>
      </c>
      <c r="B98" s="20" t="s">
        <v>327</v>
      </c>
      <c r="C98" s="20"/>
      <c r="D98" s="20"/>
      <c r="E98" s="20"/>
      <c r="F98" s="20">
        <f t="shared" si="6"/>
        <v>0</v>
      </c>
      <c r="G98" s="28">
        <f t="shared" si="7"/>
        <v>0</v>
      </c>
      <c r="H98" s="20"/>
      <c r="I98" s="20"/>
      <c r="J98" s="20"/>
      <c r="K98" s="20">
        <v>2</v>
      </c>
      <c r="L98" s="33">
        <f t="shared" ref="L98:L111" si="9">C98+D98+E98+H98+I98+J98+K98</f>
        <v>2</v>
      </c>
      <c r="M98" s="40">
        <f t="shared" si="8"/>
        <v>0.97701149425287359</v>
      </c>
      <c r="N98" s="33">
        <f>IFERROR(VLOOKUP(A98,Sonuç!A:D,4,1),0)</f>
        <v>87</v>
      </c>
    </row>
    <row r="99" spans="1:14" x14ac:dyDescent="0.2">
      <c r="A99" s="20">
        <v>5268</v>
      </c>
      <c r="B99" s="20" t="s">
        <v>329</v>
      </c>
      <c r="C99" s="20"/>
      <c r="D99" s="20"/>
      <c r="E99" s="20"/>
      <c r="F99" s="20">
        <f t="shared" si="6"/>
        <v>0</v>
      </c>
      <c r="G99" s="28">
        <f t="shared" si="7"/>
        <v>0</v>
      </c>
      <c r="H99" s="20"/>
      <c r="I99" s="20"/>
      <c r="J99" s="20"/>
      <c r="K99" s="20">
        <v>2</v>
      </c>
      <c r="L99" s="33">
        <f t="shared" si="9"/>
        <v>2</v>
      </c>
      <c r="M99" s="40">
        <f t="shared" si="8"/>
        <v>0.97701149425287359</v>
      </c>
      <c r="N99" s="33">
        <f>IFERROR(VLOOKUP(A99,Sonuç!A:D,4,1),0)</f>
        <v>87</v>
      </c>
    </row>
    <row r="100" spans="1:14" x14ac:dyDescent="0.2">
      <c r="A100" s="20">
        <v>5274</v>
      </c>
      <c r="B100" s="20" t="s">
        <v>330</v>
      </c>
      <c r="C100" s="20"/>
      <c r="D100" s="20"/>
      <c r="E100" s="20"/>
      <c r="F100" s="20">
        <f t="shared" si="6"/>
        <v>0</v>
      </c>
      <c r="G100" s="28">
        <f t="shared" si="7"/>
        <v>0</v>
      </c>
      <c r="H100" s="20"/>
      <c r="I100" s="20"/>
      <c r="J100" s="20"/>
      <c r="K100" s="20">
        <v>1</v>
      </c>
      <c r="L100" s="33">
        <f t="shared" si="9"/>
        <v>1</v>
      </c>
      <c r="M100" s="40">
        <f t="shared" si="8"/>
        <v>0.98750000000000004</v>
      </c>
      <c r="N100" s="33">
        <f>IFERROR(VLOOKUP(A100,Sonuç!A:D,4,1),0)</f>
        <v>80</v>
      </c>
    </row>
    <row r="101" spans="1:14" x14ac:dyDescent="0.2">
      <c r="A101" s="20">
        <v>5275</v>
      </c>
      <c r="B101" s="20" t="s">
        <v>331</v>
      </c>
      <c r="C101" s="20"/>
      <c r="D101" s="20"/>
      <c r="E101" s="20"/>
      <c r="F101" s="20">
        <f t="shared" si="6"/>
        <v>0</v>
      </c>
      <c r="G101" s="28">
        <f t="shared" si="7"/>
        <v>0</v>
      </c>
      <c r="H101" s="20">
        <v>1</v>
      </c>
      <c r="I101" s="20">
        <v>1</v>
      </c>
      <c r="J101" s="20"/>
      <c r="K101" s="20">
        <v>1</v>
      </c>
      <c r="L101" s="33">
        <f t="shared" si="9"/>
        <v>3</v>
      </c>
      <c r="M101" s="40">
        <f t="shared" si="8"/>
        <v>0.96250000000000002</v>
      </c>
      <c r="N101" s="33">
        <f>IFERROR(VLOOKUP(A101,Sonuç!A:D,4,1),0)</f>
        <v>80</v>
      </c>
    </row>
    <row r="102" spans="1:14" s="103" customFormat="1" x14ac:dyDescent="0.2">
      <c r="A102" s="104">
        <v>5278</v>
      </c>
      <c r="B102" s="104" t="s">
        <v>333</v>
      </c>
      <c r="C102" s="104"/>
      <c r="D102" s="104">
        <v>7</v>
      </c>
      <c r="E102" s="104"/>
      <c r="F102" s="104">
        <f t="shared" si="6"/>
        <v>7</v>
      </c>
      <c r="G102" s="105">
        <f t="shared" si="7"/>
        <v>7.7777777777777779E-2</v>
      </c>
      <c r="H102" s="104"/>
      <c r="I102" s="104">
        <v>1</v>
      </c>
      <c r="J102" s="104"/>
      <c r="K102" s="104">
        <v>1</v>
      </c>
      <c r="L102" s="99">
        <f t="shared" si="9"/>
        <v>9</v>
      </c>
      <c r="M102" s="101">
        <f t="shared" si="8"/>
        <v>0.88749999999999996</v>
      </c>
      <c r="N102" s="99">
        <f>IFERROR(VLOOKUP(A102,Sonuç!A:D,4,1),0)</f>
        <v>80</v>
      </c>
    </row>
    <row r="103" spans="1:14" x14ac:dyDescent="0.2">
      <c r="A103" s="20">
        <v>5303</v>
      </c>
      <c r="B103" s="20" t="s">
        <v>340</v>
      </c>
      <c r="C103" s="20"/>
      <c r="D103" s="20"/>
      <c r="E103" s="20"/>
      <c r="F103" s="20">
        <f t="shared" si="6"/>
        <v>0</v>
      </c>
      <c r="G103" s="28">
        <f t="shared" si="7"/>
        <v>0</v>
      </c>
      <c r="H103" s="20"/>
      <c r="I103" s="20">
        <v>2</v>
      </c>
      <c r="J103" s="20"/>
      <c r="K103" s="20">
        <v>1</v>
      </c>
      <c r="L103" s="33">
        <f t="shared" si="9"/>
        <v>3</v>
      </c>
      <c r="M103" s="40">
        <f t="shared" si="8"/>
        <v>0.94230769230769229</v>
      </c>
      <c r="N103" s="33">
        <f>IFERROR(VLOOKUP(A103,Sonuç!A:D,4,1),0)</f>
        <v>52</v>
      </c>
    </row>
    <row r="104" spans="1:14" x14ac:dyDescent="0.2">
      <c r="A104" s="20">
        <v>5304</v>
      </c>
      <c r="B104" s="20" t="s">
        <v>341</v>
      </c>
      <c r="C104" s="20"/>
      <c r="D104" s="20"/>
      <c r="E104" s="20"/>
      <c r="F104" s="20">
        <f t="shared" si="6"/>
        <v>0</v>
      </c>
      <c r="G104" s="28">
        <f t="shared" si="7"/>
        <v>0</v>
      </c>
      <c r="H104" s="20"/>
      <c r="I104" s="20">
        <v>1</v>
      </c>
      <c r="J104" s="20"/>
      <c r="K104" s="20">
        <v>2</v>
      </c>
      <c r="L104" s="33">
        <f t="shared" si="9"/>
        <v>3</v>
      </c>
      <c r="M104" s="40">
        <f t="shared" si="8"/>
        <v>0.94230769230769229</v>
      </c>
      <c r="N104" s="33">
        <f>IFERROR(VLOOKUP(A104,Sonuç!A:D,4,1),0)</f>
        <v>52</v>
      </c>
    </row>
    <row r="105" spans="1:14" x14ac:dyDescent="0.2">
      <c r="A105" s="20">
        <v>5306</v>
      </c>
      <c r="B105" s="20" t="s">
        <v>342</v>
      </c>
      <c r="C105" s="20"/>
      <c r="D105" s="20"/>
      <c r="E105" s="20"/>
      <c r="F105" s="20">
        <f t="shared" si="6"/>
        <v>0</v>
      </c>
      <c r="G105" s="28">
        <f t="shared" si="7"/>
        <v>0</v>
      </c>
      <c r="H105" s="20"/>
      <c r="I105" s="20"/>
      <c r="J105" s="20"/>
      <c r="K105" s="20">
        <v>1</v>
      </c>
      <c r="L105" s="33">
        <f t="shared" si="9"/>
        <v>1</v>
      </c>
      <c r="M105" s="40">
        <f t="shared" si="8"/>
        <v>0.98076923076923073</v>
      </c>
      <c r="N105" s="33">
        <f>IFERROR(VLOOKUP(A105,Sonuç!A:D,4,1),0)</f>
        <v>52</v>
      </c>
    </row>
    <row r="106" spans="1:14" x14ac:dyDescent="0.2">
      <c r="A106" s="20">
        <v>5310</v>
      </c>
      <c r="B106" s="20" t="s">
        <v>345</v>
      </c>
      <c r="C106" s="20"/>
      <c r="D106" s="20"/>
      <c r="E106" s="20"/>
      <c r="F106" s="20">
        <f t="shared" si="6"/>
        <v>0</v>
      </c>
      <c r="G106" s="28">
        <f t="shared" si="7"/>
        <v>0</v>
      </c>
      <c r="H106" s="20"/>
      <c r="I106" s="20"/>
      <c r="J106" s="20"/>
      <c r="K106" s="20">
        <v>1</v>
      </c>
      <c r="L106" s="33">
        <f t="shared" si="9"/>
        <v>1</v>
      </c>
      <c r="M106" s="40">
        <f t="shared" si="8"/>
        <v>0.97368421052631582</v>
      </c>
      <c r="N106" s="33">
        <f>IFERROR(VLOOKUP(A106,Sonuç!A:D,4,1),0)</f>
        <v>38</v>
      </c>
    </row>
    <row r="107" spans="1:14" x14ac:dyDescent="0.2">
      <c r="A107" s="20">
        <v>5314</v>
      </c>
      <c r="B107" s="20" t="s">
        <v>347</v>
      </c>
      <c r="C107" s="20"/>
      <c r="D107" s="20"/>
      <c r="E107" s="20"/>
      <c r="F107" s="20">
        <f t="shared" si="6"/>
        <v>0</v>
      </c>
      <c r="G107" s="28">
        <f t="shared" si="7"/>
        <v>0</v>
      </c>
      <c r="H107" s="20"/>
      <c r="I107" s="20"/>
      <c r="J107" s="20"/>
      <c r="K107" s="20">
        <v>1</v>
      </c>
      <c r="L107" s="33">
        <f t="shared" si="9"/>
        <v>1</v>
      </c>
      <c r="M107" s="40">
        <f t="shared" si="8"/>
        <v>0.967741935483871</v>
      </c>
      <c r="N107" s="33">
        <f>IFERROR(VLOOKUP(A107,Sonuç!A:D,4,1),0)</f>
        <v>31</v>
      </c>
    </row>
    <row r="108" spans="1:14" x14ac:dyDescent="0.2">
      <c r="A108" s="20">
        <v>5316</v>
      </c>
      <c r="B108" s="20" t="s">
        <v>349</v>
      </c>
      <c r="C108" s="20"/>
      <c r="D108" s="20"/>
      <c r="E108" s="20"/>
      <c r="F108" s="20">
        <f t="shared" si="6"/>
        <v>0</v>
      </c>
      <c r="G108" s="28">
        <f t="shared" si="7"/>
        <v>0</v>
      </c>
      <c r="H108" s="20"/>
      <c r="I108" s="20"/>
      <c r="J108" s="20"/>
      <c r="K108" s="20">
        <v>2</v>
      </c>
      <c r="L108" s="33">
        <f t="shared" si="9"/>
        <v>2</v>
      </c>
      <c r="M108" s="40">
        <f t="shared" si="8"/>
        <v>0.93548387096774188</v>
      </c>
      <c r="N108" s="33">
        <f>IFERROR(VLOOKUP(A108,Sonuç!A:D,4,1),0)</f>
        <v>31</v>
      </c>
    </row>
    <row r="109" spans="1:14" x14ac:dyDescent="0.2">
      <c r="A109" s="20">
        <v>5317</v>
      </c>
      <c r="B109" s="20" t="s">
        <v>350</v>
      </c>
      <c r="C109" s="20"/>
      <c r="D109" s="20"/>
      <c r="E109" s="20"/>
      <c r="F109" s="20">
        <f t="shared" si="6"/>
        <v>0</v>
      </c>
      <c r="G109" s="28">
        <f t="shared" si="7"/>
        <v>0</v>
      </c>
      <c r="H109" s="20">
        <v>1</v>
      </c>
      <c r="I109" s="20"/>
      <c r="J109" s="20"/>
      <c r="K109" s="20">
        <v>3</v>
      </c>
      <c r="L109" s="33">
        <f t="shared" si="9"/>
        <v>4</v>
      </c>
      <c r="M109" s="40">
        <f t="shared" si="8"/>
        <v>0.87096774193548387</v>
      </c>
      <c r="N109" s="33">
        <f>IFERROR(VLOOKUP(A109,Sonuç!A:D,4,1),0)</f>
        <v>31</v>
      </c>
    </row>
    <row r="110" spans="1:14" x14ac:dyDescent="0.2">
      <c r="A110" s="20">
        <v>5326</v>
      </c>
      <c r="B110" s="20" t="s">
        <v>356</v>
      </c>
      <c r="C110" s="20"/>
      <c r="D110" s="20"/>
      <c r="E110" s="20"/>
      <c r="F110" s="20">
        <f t="shared" si="6"/>
        <v>0</v>
      </c>
      <c r="G110" s="28">
        <f t="shared" si="7"/>
        <v>0</v>
      </c>
      <c r="H110" s="20"/>
      <c r="I110" s="20"/>
      <c r="J110" s="20"/>
      <c r="K110" s="20">
        <v>1</v>
      </c>
      <c r="L110" s="33">
        <f t="shared" si="9"/>
        <v>1</v>
      </c>
      <c r="M110" s="40">
        <f t="shared" si="8"/>
        <v>0.94117647058823528</v>
      </c>
      <c r="N110" s="33">
        <f>IFERROR(VLOOKUP(A110,Sonuç!A:D,4,1),0)</f>
        <v>17</v>
      </c>
    </row>
    <row r="111" spans="1:14" x14ac:dyDescent="0.2">
      <c r="A111" s="20">
        <v>5328</v>
      </c>
      <c r="B111" s="20" t="s">
        <v>358</v>
      </c>
      <c r="C111" s="20"/>
      <c r="D111" s="20"/>
      <c r="E111" s="20"/>
      <c r="F111" s="20">
        <f t="shared" si="6"/>
        <v>0</v>
      </c>
      <c r="G111" s="28">
        <f t="shared" si="7"/>
        <v>0</v>
      </c>
      <c r="H111" s="20"/>
      <c r="I111" s="20"/>
      <c r="J111" s="20"/>
      <c r="K111" s="20">
        <v>1</v>
      </c>
      <c r="L111" s="33">
        <f t="shared" si="9"/>
        <v>1</v>
      </c>
      <c r="M111" s="40">
        <f t="shared" si="8"/>
        <v>0.94117647058823528</v>
      </c>
      <c r="N111" s="33">
        <f>IFERROR(VLOOKUP(A111,Sonuç!A:D,4,1),0)</f>
        <v>17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7684-C08F-4FFB-B415-F4AE9A8A64AA}">
  <sheetPr codeName="Sayfa3"/>
  <dimension ref="A1:H303"/>
  <sheetViews>
    <sheetView workbookViewId="0">
      <selection activeCell="H3" sqref="H3"/>
    </sheetView>
  </sheetViews>
  <sheetFormatPr defaultRowHeight="12.75" x14ac:dyDescent="0.2"/>
  <cols>
    <col min="2" max="2" width="22" bestFit="1" customWidth="1"/>
    <col min="3" max="3" width="19" bestFit="1" customWidth="1"/>
    <col min="4" max="4" width="36.5703125" bestFit="1" customWidth="1"/>
    <col min="8" max="8" width="17.42578125" customWidth="1"/>
  </cols>
  <sheetData>
    <row r="1" spans="1:8" ht="75" x14ac:dyDescent="0.2">
      <c r="A1" s="55" t="s">
        <v>489</v>
      </c>
      <c r="B1" s="55" t="s">
        <v>490</v>
      </c>
      <c r="C1" s="56" t="s">
        <v>465</v>
      </c>
      <c r="D1" s="56" t="s">
        <v>371</v>
      </c>
      <c r="E1" s="55" t="s">
        <v>491</v>
      </c>
      <c r="F1" s="55" t="s">
        <v>492</v>
      </c>
      <c r="G1" s="55" t="s">
        <v>493</v>
      </c>
      <c r="H1" s="57" t="s">
        <v>494</v>
      </c>
    </row>
    <row r="2" spans="1:8" ht="15" x14ac:dyDescent="0.25">
      <c r="A2" s="58">
        <v>12</v>
      </c>
      <c r="B2" s="58" t="s">
        <v>0</v>
      </c>
      <c r="C2" s="59" t="s">
        <v>422</v>
      </c>
      <c r="D2" s="58" t="s">
        <v>1</v>
      </c>
      <c r="E2" s="60">
        <v>0</v>
      </c>
      <c r="F2" s="60">
        <v>0</v>
      </c>
      <c r="G2" s="60">
        <v>0</v>
      </c>
      <c r="H2" s="61">
        <f>AVERAGE(E2:G2)</f>
        <v>0</v>
      </c>
    </row>
    <row r="3" spans="1:8" ht="15" x14ac:dyDescent="0.25">
      <c r="A3" s="58">
        <v>15</v>
      </c>
      <c r="B3" s="58" t="s">
        <v>2</v>
      </c>
      <c r="C3" s="58" t="s">
        <v>421</v>
      </c>
      <c r="D3" s="58" t="s">
        <v>3</v>
      </c>
      <c r="E3" s="60">
        <v>0</v>
      </c>
      <c r="F3" s="60">
        <v>0</v>
      </c>
      <c r="G3" s="60">
        <v>0</v>
      </c>
      <c r="H3" s="61">
        <f t="shared" ref="H3:H66" si="0">AVERAGE(E3:G3)</f>
        <v>0</v>
      </c>
    </row>
    <row r="4" spans="1:8" ht="15" x14ac:dyDescent="0.25">
      <c r="A4" s="58">
        <v>39</v>
      </c>
      <c r="B4" s="58" t="s">
        <v>4</v>
      </c>
      <c r="C4" s="59" t="s">
        <v>495</v>
      </c>
      <c r="D4" s="58" t="s">
        <v>5</v>
      </c>
      <c r="E4" s="60">
        <v>0</v>
      </c>
      <c r="F4" s="60">
        <v>0</v>
      </c>
      <c r="G4" s="60">
        <v>0</v>
      </c>
      <c r="H4" s="61">
        <f t="shared" si="0"/>
        <v>0</v>
      </c>
    </row>
    <row r="5" spans="1:8" ht="15" x14ac:dyDescent="0.25">
      <c r="A5" s="58">
        <v>49</v>
      </c>
      <c r="B5" s="58" t="s">
        <v>8</v>
      </c>
      <c r="C5" s="59" t="s">
        <v>422</v>
      </c>
      <c r="D5" s="58" t="s">
        <v>1</v>
      </c>
      <c r="E5" s="60">
        <v>0</v>
      </c>
      <c r="F5" s="60">
        <v>0</v>
      </c>
      <c r="G5" s="60">
        <v>0</v>
      </c>
      <c r="H5" s="61">
        <f t="shared" si="0"/>
        <v>0</v>
      </c>
    </row>
    <row r="6" spans="1:8" ht="15" x14ac:dyDescent="0.25">
      <c r="A6" s="58">
        <v>52</v>
      </c>
      <c r="B6" s="58" t="s">
        <v>9</v>
      </c>
      <c r="C6" s="59" t="s">
        <v>421</v>
      </c>
      <c r="D6" s="58" t="s">
        <v>10</v>
      </c>
      <c r="E6" s="60">
        <v>0</v>
      </c>
      <c r="F6" s="60">
        <v>0</v>
      </c>
      <c r="G6" s="60">
        <v>0</v>
      </c>
      <c r="H6" s="61">
        <f t="shared" si="0"/>
        <v>0</v>
      </c>
    </row>
    <row r="7" spans="1:8" ht="15" x14ac:dyDescent="0.25">
      <c r="A7" s="58">
        <v>57</v>
      </c>
      <c r="B7" s="58" t="s">
        <v>11</v>
      </c>
      <c r="C7" s="59" t="s">
        <v>495</v>
      </c>
      <c r="D7" s="58" t="s">
        <v>12</v>
      </c>
      <c r="E7" s="60">
        <v>0</v>
      </c>
      <c r="F7" s="60">
        <v>0</v>
      </c>
      <c r="G7" s="60">
        <v>0</v>
      </c>
      <c r="H7" s="61">
        <f t="shared" si="0"/>
        <v>0</v>
      </c>
    </row>
    <row r="8" spans="1:8" ht="15" x14ac:dyDescent="0.25">
      <c r="A8" s="58">
        <v>64</v>
      </c>
      <c r="B8" s="58" t="s">
        <v>13</v>
      </c>
      <c r="C8" s="59" t="s">
        <v>496</v>
      </c>
      <c r="D8" s="58" t="s">
        <v>5</v>
      </c>
      <c r="E8" s="60">
        <v>0</v>
      </c>
      <c r="F8" s="60">
        <v>0</v>
      </c>
      <c r="G8" s="60">
        <v>0</v>
      </c>
      <c r="H8" s="61">
        <f t="shared" si="0"/>
        <v>0</v>
      </c>
    </row>
    <row r="9" spans="1:8" ht="15" x14ac:dyDescent="0.25">
      <c r="A9" s="58">
        <v>72</v>
      </c>
      <c r="B9" s="58" t="s">
        <v>14</v>
      </c>
      <c r="C9" s="59" t="s">
        <v>497</v>
      </c>
      <c r="D9" s="58" t="s">
        <v>15</v>
      </c>
      <c r="E9" s="60">
        <v>0</v>
      </c>
      <c r="F9" s="60">
        <v>0</v>
      </c>
      <c r="G9" s="60">
        <v>0</v>
      </c>
      <c r="H9" s="61">
        <f t="shared" si="0"/>
        <v>0</v>
      </c>
    </row>
    <row r="10" spans="1:8" ht="15" x14ac:dyDescent="0.25">
      <c r="A10" s="58">
        <v>73</v>
      </c>
      <c r="B10" s="58" t="s">
        <v>16</v>
      </c>
      <c r="C10" s="59" t="s">
        <v>421</v>
      </c>
      <c r="D10" s="58" t="s">
        <v>10</v>
      </c>
      <c r="E10" s="60">
        <v>0</v>
      </c>
      <c r="F10" s="60">
        <v>0</v>
      </c>
      <c r="G10" s="60">
        <v>0</v>
      </c>
      <c r="H10" s="61">
        <f t="shared" si="0"/>
        <v>0</v>
      </c>
    </row>
    <row r="11" spans="1:8" ht="15" x14ac:dyDescent="0.25">
      <c r="A11" s="58">
        <v>74</v>
      </c>
      <c r="B11" s="58" t="s">
        <v>17</v>
      </c>
      <c r="C11" s="59" t="s">
        <v>495</v>
      </c>
      <c r="D11" s="58" t="s">
        <v>5</v>
      </c>
      <c r="E11" s="60">
        <v>0</v>
      </c>
      <c r="F11" s="60">
        <v>0</v>
      </c>
      <c r="G11" s="60">
        <v>0</v>
      </c>
      <c r="H11" s="61">
        <f t="shared" si="0"/>
        <v>0</v>
      </c>
    </row>
    <row r="12" spans="1:8" ht="15" x14ac:dyDescent="0.25">
      <c r="A12" s="58">
        <v>79</v>
      </c>
      <c r="B12" s="58" t="s">
        <v>18</v>
      </c>
      <c r="C12" s="59" t="s">
        <v>422</v>
      </c>
      <c r="D12" s="58" t="s">
        <v>1</v>
      </c>
      <c r="E12" s="60">
        <v>0</v>
      </c>
      <c r="F12" s="60">
        <v>0</v>
      </c>
      <c r="G12" s="60">
        <v>0</v>
      </c>
      <c r="H12" s="61">
        <f t="shared" si="0"/>
        <v>0</v>
      </c>
    </row>
    <row r="13" spans="1:8" ht="15" x14ac:dyDescent="0.25">
      <c r="A13" s="58">
        <v>81</v>
      </c>
      <c r="B13" s="58" t="s">
        <v>19</v>
      </c>
      <c r="C13" s="59" t="s">
        <v>432</v>
      </c>
      <c r="D13" s="58" t="s">
        <v>20</v>
      </c>
      <c r="E13" s="60">
        <v>0</v>
      </c>
      <c r="F13" s="60">
        <v>0</v>
      </c>
      <c r="G13" s="60">
        <v>100</v>
      </c>
      <c r="H13" s="61">
        <f t="shared" si="0"/>
        <v>33.333333333333336</v>
      </c>
    </row>
    <row r="14" spans="1:8" ht="15" x14ac:dyDescent="0.25">
      <c r="A14" s="58">
        <v>86</v>
      </c>
      <c r="B14" s="58" t="s">
        <v>21</v>
      </c>
      <c r="C14" s="59" t="s">
        <v>429</v>
      </c>
      <c r="D14" s="58" t="s">
        <v>22</v>
      </c>
      <c r="E14" s="60">
        <v>0</v>
      </c>
      <c r="F14" s="60">
        <v>0</v>
      </c>
      <c r="G14" s="60">
        <v>0</v>
      </c>
      <c r="H14" s="61">
        <f t="shared" si="0"/>
        <v>0</v>
      </c>
    </row>
    <row r="15" spans="1:8" ht="15" x14ac:dyDescent="0.25">
      <c r="A15" s="58">
        <v>88</v>
      </c>
      <c r="B15" s="58" t="s">
        <v>23</v>
      </c>
      <c r="C15" s="59" t="s">
        <v>495</v>
      </c>
      <c r="D15" s="58" t="s">
        <v>24</v>
      </c>
      <c r="E15" s="60">
        <v>0</v>
      </c>
      <c r="F15" s="60">
        <v>0</v>
      </c>
      <c r="G15" s="60">
        <v>0</v>
      </c>
      <c r="H15" s="61">
        <f t="shared" si="0"/>
        <v>0</v>
      </c>
    </row>
    <row r="16" spans="1:8" ht="15" x14ac:dyDescent="0.25">
      <c r="A16" s="58">
        <v>96</v>
      </c>
      <c r="B16" s="58" t="s">
        <v>25</v>
      </c>
      <c r="C16" s="59" t="s">
        <v>429</v>
      </c>
      <c r="D16" s="58" t="s">
        <v>26</v>
      </c>
      <c r="E16" s="60">
        <v>0</v>
      </c>
      <c r="F16" s="60">
        <v>0</v>
      </c>
      <c r="G16" s="60">
        <v>0</v>
      </c>
      <c r="H16" s="61">
        <f t="shared" si="0"/>
        <v>0</v>
      </c>
    </row>
    <row r="17" spans="1:8" ht="15" x14ac:dyDescent="0.25">
      <c r="A17" s="58">
        <v>102</v>
      </c>
      <c r="B17" s="58" t="s">
        <v>27</v>
      </c>
      <c r="C17" s="59" t="s">
        <v>495</v>
      </c>
      <c r="D17" s="58" t="s">
        <v>28</v>
      </c>
      <c r="E17" s="60">
        <v>0</v>
      </c>
      <c r="F17" s="60">
        <v>0</v>
      </c>
      <c r="G17" s="60">
        <v>0</v>
      </c>
      <c r="H17" s="61">
        <f t="shared" si="0"/>
        <v>0</v>
      </c>
    </row>
    <row r="18" spans="1:8" ht="15" x14ac:dyDescent="0.25">
      <c r="A18" s="58">
        <v>104</v>
      </c>
      <c r="B18" s="58" t="s">
        <v>29</v>
      </c>
      <c r="C18" s="59" t="s">
        <v>431</v>
      </c>
      <c r="D18" s="58" t="s">
        <v>30</v>
      </c>
      <c r="E18" s="60">
        <v>0</v>
      </c>
      <c r="F18" s="60">
        <v>0</v>
      </c>
      <c r="G18" s="60">
        <v>0</v>
      </c>
      <c r="H18" s="61">
        <f t="shared" si="0"/>
        <v>0</v>
      </c>
    </row>
    <row r="19" spans="1:8" ht="15" x14ac:dyDescent="0.25">
      <c r="A19" s="58">
        <v>107</v>
      </c>
      <c r="B19" s="58" t="s">
        <v>31</v>
      </c>
      <c r="C19" s="59" t="s">
        <v>495</v>
      </c>
      <c r="D19" s="58" t="s">
        <v>12</v>
      </c>
      <c r="E19" s="60">
        <v>0</v>
      </c>
      <c r="F19" s="60">
        <v>0</v>
      </c>
      <c r="G19" s="60">
        <v>0</v>
      </c>
      <c r="H19" s="61">
        <f t="shared" si="0"/>
        <v>0</v>
      </c>
    </row>
    <row r="20" spans="1:8" ht="15" x14ac:dyDescent="0.25">
      <c r="A20" s="58">
        <v>108</v>
      </c>
      <c r="B20" s="58" t="s">
        <v>32</v>
      </c>
      <c r="C20" s="59" t="s">
        <v>495</v>
      </c>
      <c r="D20" s="58" t="s">
        <v>28</v>
      </c>
      <c r="E20" s="60">
        <v>0</v>
      </c>
      <c r="F20" s="60">
        <v>100</v>
      </c>
      <c r="G20" s="60">
        <v>0</v>
      </c>
      <c r="H20" s="61">
        <f t="shared" si="0"/>
        <v>33.333333333333336</v>
      </c>
    </row>
    <row r="21" spans="1:8" ht="15" x14ac:dyDescent="0.25">
      <c r="A21" s="58">
        <v>109</v>
      </c>
      <c r="B21" s="58" t="s">
        <v>33</v>
      </c>
      <c r="C21" s="59" t="s">
        <v>421</v>
      </c>
      <c r="D21" s="58" t="s">
        <v>34</v>
      </c>
      <c r="E21" s="60">
        <v>100</v>
      </c>
      <c r="F21" s="60">
        <v>0</v>
      </c>
      <c r="G21" s="60">
        <v>0</v>
      </c>
      <c r="H21" s="61">
        <f>AVERAGE(E21:F21)</f>
        <v>50</v>
      </c>
    </row>
    <row r="22" spans="1:8" ht="15" x14ac:dyDescent="0.25">
      <c r="A22" s="58">
        <v>112</v>
      </c>
      <c r="B22" s="58" t="s">
        <v>35</v>
      </c>
      <c r="C22" s="59" t="s">
        <v>496</v>
      </c>
      <c r="D22" s="58" t="s">
        <v>36</v>
      </c>
      <c r="E22" s="60">
        <v>0</v>
      </c>
      <c r="F22" s="60">
        <v>0</v>
      </c>
      <c r="G22" s="60">
        <v>0</v>
      </c>
      <c r="H22" s="61">
        <f t="shared" si="0"/>
        <v>0</v>
      </c>
    </row>
    <row r="23" spans="1:8" ht="15" x14ac:dyDescent="0.25">
      <c r="A23" s="58">
        <v>113</v>
      </c>
      <c r="B23" s="58" t="s">
        <v>37</v>
      </c>
      <c r="C23" s="59" t="s">
        <v>424</v>
      </c>
      <c r="D23" s="58" t="s">
        <v>38</v>
      </c>
      <c r="E23" s="60">
        <v>0</v>
      </c>
      <c r="F23" s="60">
        <v>0</v>
      </c>
      <c r="G23" s="60">
        <v>0</v>
      </c>
      <c r="H23" s="61">
        <f t="shared" si="0"/>
        <v>0</v>
      </c>
    </row>
    <row r="24" spans="1:8" ht="15" x14ac:dyDescent="0.25">
      <c r="A24" s="58">
        <v>120</v>
      </c>
      <c r="B24" s="58" t="s">
        <v>39</v>
      </c>
      <c r="C24" s="59" t="s">
        <v>421</v>
      </c>
      <c r="D24" s="58" t="s">
        <v>10</v>
      </c>
      <c r="E24" s="60">
        <v>0</v>
      </c>
      <c r="F24" s="60">
        <v>0</v>
      </c>
      <c r="G24" s="60">
        <v>0</v>
      </c>
      <c r="H24" s="61">
        <f t="shared" si="0"/>
        <v>0</v>
      </c>
    </row>
    <row r="25" spans="1:8" ht="15" x14ac:dyDescent="0.25">
      <c r="A25" s="58">
        <v>123</v>
      </c>
      <c r="B25" s="58" t="s">
        <v>40</v>
      </c>
      <c r="C25" s="59" t="s">
        <v>422</v>
      </c>
      <c r="D25" s="58" t="s">
        <v>1</v>
      </c>
      <c r="E25" s="60">
        <v>100</v>
      </c>
      <c r="F25" s="60">
        <v>0</v>
      </c>
      <c r="G25" s="60">
        <v>100</v>
      </c>
      <c r="H25" s="61">
        <f t="shared" si="0"/>
        <v>66.666666666666671</v>
      </c>
    </row>
    <row r="26" spans="1:8" ht="15" x14ac:dyDescent="0.25">
      <c r="A26" s="58">
        <v>124</v>
      </c>
      <c r="B26" s="58" t="s">
        <v>41</v>
      </c>
      <c r="C26" s="59" t="s">
        <v>432</v>
      </c>
      <c r="D26" s="58" t="s">
        <v>498</v>
      </c>
      <c r="E26" s="60">
        <v>100</v>
      </c>
      <c r="F26" s="60">
        <v>0</v>
      </c>
      <c r="G26" s="60">
        <v>100</v>
      </c>
      <c r="H26" s="61">
        <f t="shared" si="0"/>
        <v>66.666666666666671</v>
      </c>
    </row>
    <row r="27" spans="1:8" ht="15" x14ac:dyDescent="0.25">
      <c r="A27" s="58">
        <v>125</v>
      </c>
      <c r="B27" s="58" t="s">
        <v>43</v>
      </c>
      <c r="C27" s="59" t="s">
        <v>424</v>
      </c>
      <c r="D27" s="58" t="s">
        <v>44</v>
      </c>
      <c r="E27" s="60">
        <v>0</v>
      </c>
      <c r="F27" s="60">
        <v>0</v>
      </c>
      <c r="G27" s="60">
        <v>0</v>
      </c>
      <c r="H27" s="61">
        <f t="shared" si="0"/>
        <v>0</v>
      </c>
    </row>
    <row r="28" spans="1:8" ht="15" x14ac:dyDescent="0.25">
      <c r="A28" s="58">
        <v>129</v>
      </c>
      <c r="B28" s="58" t="s">
        <v>45</v>
      </c>
      <c r="C28" s="59" t="s">
        <v>429</v>
      </c>
      <c r="D28" s="58" t="s">
        <v>46</v>
      </c>
      <c r="E28" s="60">
        <v>100</v>
      </c>
      <c r="F28" s="60">
        <v>100</v>
      </c>
      <c r="G28" s="60">
        <v>0</v>
      </c>
      <c r="H28" s="61">
        <f t="shared" si="0"/>
        <v>66.666666666666671</v>
      </c>
    </row>
    <row r="29" spans="1:8" ht="15" x14ac:dyDescent="0.25">
      <c r="A29" s="58">
        <v>131</v>
      </c>
      <c r="B29" s="58" t="s">
        <v>47</v>
      </c>
      <c r="C29" s="59" t="s">
        <v>421</v>
      </c>
      <c r="D29" s="58" t="s">
        <v>48</v>
      </c>
      <c r="E29" s="60">
        <v>0</v>
      </c>
      <c r="F29" s="60">
        <v>100</v>
      </c>
      <c r="G29" s="60">
        <v>0</v>
      </c>
      <c r="H29" s="61">
        <f>AVERAGE(E29:F29)</f>
        <v>50</v>
      </c>
    </row>
    <row r="30" spans="1:8" ht="15" x14ac:dyDescent="0.25">
      <c r="A30" s="58">
        <v>135</v>
      </c>
      <c r="B30" s="58" t="s">
        <v>49</v>
      </c>
      <c r="C30" s="59" t="s">
        <v>424</v>
      </c>
      <c r="D30" s="58" t="s">
        <v>44</v>
      </c>
      <c r="E30" s="60">
        <v>100</v>
      </c>
      <c r="F30" s="60">
        <v>0</v>
      </c>
      <c r="G30" s="60">
        <v>0</v>
      </c>
      <c r="H30" s="61">
        <f t="shared" si="0"/>
        <v>33.333333333333336</v>
      </c>
    </row>
    <row r="31" spans="1:8" ht="15" x14ac:dyDescent="0.25">
      <c r="A31" s="58">
        <v>138</v>
      </c>
      <c r="B31" s="58" t="s">
        <v>50</v>
      </c>
      <c r="C31" s="59" t="s">
        <v>429</v>
      </c>
      <c r="D31" s="58" t="s">
        <v>46</v>
      </c>
      <c r="E31" s="60">
        <v>0</v>
      </c>
      <c r="F31" s="60">
        <v>0</v>
      </c>
      <c r="G31" s="60">
        <v>0</v>
      </c>
      <c r="H31" s="61">
        <f t="shared" si="0"/>
        <v>0</v>
      </c>
    </row>
    <row r="32" spans="1:8" ht="15" x14ac:dyDescent="0.25">
      <c r="A32" s="58">
        <v>146</v>
      </c>
      <c r="B32" s="58" t="s">
        <v>51</v>
      </c>
      <c r="C32" s="59" t="s">
        <v>429</v>
      </c>
      <c r="D32" s="58" t="s">
        <v>46</v>
      </c>
      <c r="E32" s="60">
        <v>0</v>
      </c>
      <c r="F32" s="60">
        <v>0</v>
      </c>
      <c r="G32" s="60">
        <v>0</v>
      </c>
      <c r="H32" s="61">
        <f t="shared" si="0"/>
        <v>0</v>
      </c>
    </row>
    <row r="33" spans="1:8" ht="15" x14ac:dyDescent="0.25">
      <c r="A33" s="58">
        <v>149</v>
      </c>
      <c r="B33" s="58" t="s">
        <v>53</v>
      </c>
      <c r="C33" s="59" t="s">
        <v>422</v>
      </c>
      <c r="D33" s="58" t="s">
        <v>54</v>
      </c>
      <c r="E33" s="60">
        <v>0</v>
      </c>
      <c r="F33" s="60">
        <v>0</v>
      </c>
      <c r="G33" s="60">
        <v>0</v>
      </c>
      <c r="H33" s="61">
        <f t="shared" si="0"/>
        <v>0</v>
      </c>
    </row>
    <row r="34" spans="1:8" ht="15" x14ac:dyDescent="0.25">
      <c r="A34" s="58">
        <v>153</v>
      </c>
      <c r="B34" s="58" t="s">
        <v>55</v>
      </c>
      <c r="C34" s="59" t="s">
        <v>431</v>
      </c>
      <c r="D34" s="58" t="s">
        <v>56</v>
      </c>
      <c r="E34" s="60">
        <v>0</v>
      </c>
      <c r="F34" s="60">
        <v>0</v>
      </c>
      <c r="G34" s="60">
        <v>0</v>
      </c>
      <c r="H34" s="61">
        <f t="shared" si="0"/>
        <v>0</v>
      </c>
    </row>
    <row r="35" spans="1:8" ht="15" x14ac:dyDescent="0.25">
      <c r="A35" s="58">
        <v>165</v>
      </c>
      <c r="B35" s="58" t="s">
        <v>499</v>
      </c>
      <c r="C35" s="59" t="s">
        <v>422</v>
      </c>
      <c r="D35" s="58" t="s">
        <v>122</v>
      </c>
      <c r="E35" s="60">
        <v>0</v>
      </c>
      <c r="F35" s="60">
        <v>0</v>
      </c>
      <c r="G35" s="60">
        <v>0</v>
      </c>
      <c r="H35" s="61">
        <f t="shared" si="0"/>
        <v>0</v>
      </c>
    </row>
    <row r="36" spans="1:8" ht="15" x14ac:dyDescent="0.25">
      <c r="A36" s="58">
        <v>171</v>
      </c>
      <c r="B36" s="58" t="s">
        <v>57</v>
      </c>
      <c r="C36" s="59" t="s">
        <v>422</v>
      </c>
      <c r="D36" s="58" t="s">
        <v>54</v>
      </c>
      <c r="E36" s="60">
        <v>0</v>
      </c>
      <c r="F36" s="60">
        <v>0</v>
      </c>
      <c r="G36" s="60">
        <v>0</v>
      </c>
      <c r="H36" s="61">
        <f t="shared" si="0"/>
        <v>0</v>
      </c>
    </row>
    <row r="37" spans="1:8" ht="15" x14ac:dyDescent="0.25">
      <c r="A37" s="58">
        <v>215</v>
      </c>
      <c r="B37" s="58" t="s">
        <v>58</v>
      </c>
      <c r="C37" s="59" t="s">
        <v>421</v>
      </c>
      <c r="D37" s="58" t="s">
        <v>59</v>
      </c>
      <c r="E37" s="60">
        <v>0</v>
      </c>
      <c r="F37" s="60">
        <v>0</v>
      </c>
      <c r="G37" s="60">
        <v>100</v>
      </c>
      <c r="H37" s="61">
        <f t="shared" si="0"/>
        <v>33.333333333333336</v>
      </c>
    </row>
    <row r="38" spans="1:8" ht="15" x14ac:dyDescent="0.25">
      <c r="A38" s="58">
        <v>218</v>
      </c>
      <c r="B38" s="58" t="s">
        <v>60</v>
      </c>
      <c r="C38" s="59" t="s">
        <v>421</v>
      </c>
      <c r="D38" s="58" t="s">
        <v>61</v>
      </c>
      <c r="E38" s="60">
        <v>0</v>
      </c>
      <c r="F38" s="60">
        <v>0</v>
      </c>
      <c r="G38" s="60">
        <v>0</v>
      </c>
      <c r="H38" s="61">
        <f t="shared" si="0"/>
        <v>0</v>
      </c>
    </row>
    <row r="39" spans="1:8" ht="15" x14ac:dyDescent="0.25">
      <c r="A39" s="58">
        <v>219</v>
      </c>
      <c r="B39" s="58" t="s">
        <v>62</v>
      </c>
      <c r="C39" s="59" t="s">
        <v>421</v>
      </c>
      <c r="D39" s="58" t="s">
        <v>10</v>
      </c>
      <c r="E39" s="60">
        <v>0</v>
      </c>
      <c r="F39" s="60">
        <v>100</v>
      </c>
      <c r="G39" s="60">
        <v>0</v>
      </c>
      <c r="H39" s="61">
        <f t="shared" si="0"/>
        <v>33.333333333333336</v>
      </c>
    </row>
    <row r="40" spans="1:8" ht="15" x14ac:dyDescent="0.25">
      <c r="A40" s="58">
        <v>225</v>
      </c>
      <c r="B40" s="58" t="s">
        <v>63</v>
      </c>
      <c r="C40" s="59" t="s">
        <v>421</v>
      </c>
      <c r="D40" s="58" t="s">
        <v>64</v>
      </c>
      <c r="E40" s="60">
        <v>0</v>
      </c>
      <c r="F40" s="60">
        <v>0</v>
      </c>
      <c r="G40" s="60">
        <v>0</v>
      </c>
      <c r="H40" s="61">
        <f>AVERAGE(E40:F40)</f>
        <v>0</v>
      </c>
    </row>
    <row r="41" spans="1:8" ht="15" x14ac:dyDescent="0.25">
      <c r="A41" s="58">
        <v>227</v>
      </c>
      <c r="B41" s="58" t="s">
        <v>65</v>
      </c>
      <c r="C41" s="59" t="s">
        <v>421</v>
      </c>
      <c r="D41" s="58" t="s">
        <v>10</v>
      </c>
      <c r="E41" s="60">
        <v>0</v>
      </c>
      <c r="F41" s="60">
        <v>0</v>
      </c>
      <c r="G41" s="60">
        <v>0</v>
      </c>
      <c r="H41" s="61">
        <f t="shared" si="0"/>
        <v>0</v>
      </c>
    </row>
    <row r="42" spans="1:8" ht="15" x14ac:dyDescent="0.25">
      <c r="A42" s="58">
        <v>230</v>
      </c>
      <c r="B42" s="58" t="s">
        <v>66</v>
      </c>
      <c r="C42" s="59" t="s">
        <v>431</v>
      </c>
      <c r="D42" s="58" t="s">
        <v>56</v>
      </c>
      <c r="E42" s="60">
        <v>0</v>
      </c>
      <c r="F42" s="60">
        <v>0</v>
      </c>
      <c r="G42" s="60">
        <v>0</v>
      </c>
      <c r="H42" s="61">
        <f t="shared" si="0"/>
        <v>0</v>
      </c>
    </row>
    <row r="43" spans="1:8" ht="15" x14ac:dyDescent="0.25">
      <c r="A43" s="58">
        <v>231</v>
      </c>
      <c r="B43" s="58" t="s">
        <v>67</v>
      </c>
      <c r="C43" s="59" t="s">
        <v>421</v>
      </c>
      <c r="D43" s="58" t="s">
        <v>10</v>
      </c>
      <c r="E43" s="60">
        <v>0</v>
      </c>
      <c r="F43" s="60">
        <v>0</v>
      </c>
      <c r="G43" s="60">
        <v>0</v>
      </c>
      <c r="H43" s="61">
        <f t="shared" si="0"/>
        <v>0</v>
      </c>
    </row>
    <row r="44" spans="1:8" ht="15" x14ac:dyDescent="0.25">
      <c r="A44" s="58">
        <v>239</v>
      </c>
      <c r="B44" s="58" t="s">
        <v>68</v>
      </c>
      <c r="C44" s="59" t="s">
        <v>500</v>
      </c>
      <c r="D44" s="58" t="s">
        <v>69</v>
      </c>
      <c r="E44" s="60">
        <v>0</v>
      </c>
      <c r="F44" s="60">
        <v>0</v>
      </c>
      <c r="G44" s="60">
        <v>100</v>
      </c>
      <c r="H44" s="61">
        <f t="shared" si="0"/>
        <v>33.333333333333336</v>
      </c>
    </row>
    <row r="45" spans="1:8" ht="15" x14ac:dyDescent="0.25">
      <c r="A45" s="58">
        <v>248</v>
      </c>
      <c r="B45" s="58" t="s">
        <v>70</v>
      </c>
      <c r="C45" s="59" t="s">
        <v>421</v>
      </c>
      <c r="D45" s="58" t="s">
        <v>10</v>
      </c>
      <c r="E45" s="60">
        <v>0</v>
      </c>
      <c r="F45" s="60">
        <v>0</v>
      </c>
      <c r="G45" s="60">
        <v>0</v>
      </c>
      <c r="H45" s="61">
        <f t="shared" si="0"/>
        <v>0</v>
      </c>
    </row>
    <row r="46" spans="1:8" ht="15" x14ac:dyDescent="0.25">
      <c r="A46" s="58">
        <v>253</v>
      </c>
      <c r="B46" s="58" t="s">
        <v>71</v>
      </c>
      <c r="C46" s="59" t="s">
        <v>421</v>
      </c>
      <c r="D46" s="58" t="s">
        <v>64</v>
      </c>
      <c r="E46" s="60">
        <v>0</v>
      </c>
      <c r="F46" s="60">
        <v>0</v>
      </c>
      <c r="G46" s="60">
        <v>100</v>
      </c>
      <c r="H46" s="61">
        <f t="shared" si="0"/>
        <v>33.333333333333336</v>
      </c>
    </row>
    <row r="47" spans="1:8" ht="15" x14ac:dyDescent="0.25">
      <c r="A47" s="58">
        <v>254</v>
      </c>
      <c r="B47" s="58" t="s">
        <v>72</v>
      </c>
      <c r="C47" s="59" t="s">
        <v>421</v>
      </c>
      <c r="D47" s="58" t="s">
        <v>59</v>
      </c>
      <c r="E47" s="60">
        <v>0</v>
      </c>
      <c r="F47" s="60">
        <v>0</v>
      </c>
      <c r="G47" s="60">
        <v>0</v>
      </c>
      <c r="H47" s="61">
        <f t="shared" si="0"/>
        <v>0</v>
      </c>
    </row>
    <row r="48" spans="1:8" ht="15" x14ac:dyDescent="0.25">
      <c r="A48" s="58">
        <v>261</v>
      </c>
      <c r="B48" s="58" t="s">
        <v>73</v>
      </c>
      <c r="C48" s="59" t="s">
        <v>424</v>
      </c>
      <c r="D48" s="58" t="s">
        <v>74</v>
      </c>
      <c r="E48" s="60">
        <v>100</v>
      </c>
      <c r="F48" s="60">
        <v>0</v>
      </c>
      <c r="G48" s="60">
        <v>0</v>
      </c>
      <c r="H48" s="61">
        <f t="shared" si="0"/>
        <v>33.333333333333336</v>
      </c>
    </row>
    <row r="49" spans="1:8" ht="15" x14ac:dyDescent="0.25">
      <c r="A49" s="58">
        <v>276</v>
      </c>
      <c r="B49" s="58" t="s">
        <v>77</v>
      </c>
      <c r="C49" s="59" t="s">
        <v>500</v>
      </c>
      <c r="D49" s="58" t="s">
        <v>69</v>
      </c>
      <c r="E49" s="60">
        <v>0</v>
      </c>
      <c r="F49" s="60">
        <v>0</v>
      </c>
      <c r="G49" s="60">
        <v>0</v>
      </c>
      <c r="H49" s="61">
        <f t="shared" si="0"/>
        <v>0</v>
      </c>
    </row>
    <row r="50" spans="1:8" ht="15" x14ac:dyDescent="0.25">
      <c r="A50" s="58">
        <v>279</v>
      </c>
      <c r="B50" s="58" t="s">
        <v>78</v>
      </c>
      <c r="C50" s="59" t="s">
        <v>421</v>
      </c>
      <c r="D50" s="58" t="s">
        <v>48</v>
      </c>
      <c r="E50" s="60">
        <v>0</v>
      </c>
      <c r="F50" s="60">
        <v>0</v>
      </c>
      <c r="G50" s="60">
        <v>100</v>
      </c>
      <c r="H50" s="61">
        <f t="shared" si="0"/>
        <v>33.333333333333336</v>
      </c>
    </row>
    <row r="51" spans="1:8" ht="15" x14ac:dyDescent="0.25">
      <c r="A51" s="58">
        <v>300</v>
      </c>
      <c r="B51" s="58" t="s">
        <v>79</v>
      </c>
      <c r="C51" s="59" t="s">
        <v>421</v>
      </c>
      <c r="D51" s="58" t="s">
        <v>48</v>
      </c>
      <c r="E51" s="60">
        <v>0</v>
      </c>
      <c r="F51" s="60">
        <v>0</v>
      </c>
      <c r="G51" s="60">
        <v>0</v>
      </c>
      <c r="H51" s="61">
        <f t="shared" si="0"/>
        <v>0</v>
      </c>
    </row>
    <row r="52" spans="1:8" ht="15" x14ac:dyDescent="0.25">
      <c r="A52" s="58">
        <v>309</v>
      </c>
      <c r="B52" s="58" t="s">
        <v>80</v>
      </c>
      <c r="C52" s="59" t="s">
        <v>422</v>
      </c>
      <c r="D52" s="58" t="s">
        <v>54</v>
      </c>
      <c r="E52" s="60">
        <v>0</v>
      </c>
      <c r="F52" s="60">
        <v>0</v>
      </c>
      <c r="G52" s="60">
        <v>0</v>
      </c>
      <c r="H52" s="61">
        <f t="shared" si="0"/>
        <v>0</v>
      </c>
    </row>
    <row r="53" spans="1:8" ht="15" x14ac:dyDescent="0.25">
      <c r="A53" s="58">
        <v>315</v>
      </c>
      <c r="B53" s="58" t="s">
        <v>81</v>
      </c>
      <c r="C53" s="59" t="s">
        <v>421</v>
      </c>
      <c r="D53" s="58" t="s">
        <v>10</v>
      </c>
      <c r="E53" s="60">
        <v>0</v>
      </c>
      <c r="F53" s="60">
        <v>0</v>
      </c>
      <c r="G53" s="60">
        <v>100</v>
      </c>
      <c r="H53" s="61">
        <f t="shared" si="0"/>
        <v>33.333333333333336</v>
      </c>
    </row>
    <row r="54" spans="1:8" ht="15" x14ac:dyDescent="0.25">
      <c r="A54" s="58">
        <v>317</v>
      </c>
      <c r="B54" s="58" t="s">
        <v>82</v>
      </c>
      <c r="C54" s="59" t="s">
        <v>495</v>
      </c>
      <c r="D54" s="58" t="s">
        <v>28</v>
      </c>
      <c r="E54" s="60">
        <v>0</v>
      </c>
      <c r="F54" s="60">
        <v>0</v>
      </c>
      <c r="G54" s="60">
        <v>0</v>
      </c>
      <c r="H54" s="61">
        <f t="shared" si="0"/>
        <v>0</v>
      </c>
    </row>
    <row r="55" spans="1:8" ht="15" x14ac:dyDescent="0.25">
      <c r="A55" s="58">
        <v>319</v>
      </c>
      <c r="B55" s="58" t="s">
        <v>83</v>
      </c>
      <c r="C55" s="59" t="s">
        <v>421</v>
      </c>
      <c r="D55" s="58" t="s">
        <v>59</v>
      </c>
      <c r="E55" s="60">
        <v>0</v>
      </c>
      <c r="F55" s="60">
        <v>0</v>
      </c>
      <c r="G55" s="60">
        <v>0</v>
      </c>
      <c r="H55" s="61">
        <f t="shared" si="0"/>
        <v>0</v>
      </c>
    </row>
    <row r="56" spans="1:8" ht="15" x14ac:dyDescent="0.25">
      <c r="A56" s="58">
        <v>329</v>
      </c>
      <c r="B56" s="58" t="s">
        <v>84</v>
      </c>
      <c r="C56" s="59" t="s">
        <v>421</v>
      </c>
      <c r="D56" s="58" t="s">
        <v>48</v>
      </c>
      <c r="E56" s="60">
        <v>0</v>
      </c>
      <c r="F56" s="60">
        <v>0</v>
      </c>
      <c r="G56" s="60">
        <v>0</v>
      </c>
      <c r="H56" s="61">
        <f t="shared" si="0"/>
        <v>0</v>
      </c>
    </row>
    <row r="57" spans="1:8" ht="15" x14ac:dyDescent="0.25">
      <c r="A57" s="58">
        <v>340</v>
      </c>
      <c r="B57" s="58" t="s">
        <v>85</v>
      </c>
      <c r="C57" s="59" t="s">
        <v>421</v>
      </c>
      <c r="D57" s="58" t="s">
        <v>86</v>
      </c>
      <c r="E57" s="60">
        <v>0</v>
      </c>
      <c r="F57" s="60">
        <v>0</v>
      </c>
      <c r="G57" s="60">
        <v>0</v>
      </c>
      <c r="H57" s="61">
        <f t="shared" si="0"/>
        <v>0</v>
      </c>
    </row>
    <row r="58" spans="1:8" ht="15" x14ac:dyDescent="0.25">
      <c r="A58" s="58">
        <v>354</v>
      </c>
      <c r="B58" s="58" t="s">
        <v>87</v>
      </c>
      <c r="C58" s="59" t="s">
        <v>421</v>
      </c>
      <c r="D58" s="58" t="s">
        <v>10</v>
      </c>
      <c r="E58" s="60">
        <v>0</v>
      </c>
      <c r="F58" s="60">
        <v>0</v>
      </c>
      <c r="G58" s="60">
        <v>0</v>
      </c>
      <c r="H58" s="61">
        <f t="shared" si="0"/>
        <v>0</v>
      </c>
    </row>
    <row r="59" spans="1:8" ht="15" x14ac:dyDescent="0.25">
      <c r="A59" s="58">
        <v>380</v>
      </c>
      <c r="B59" s="58" t="s">
        <v>88</v>
      </c>
      <c r="C59" s="59" t="s">
        <v>421</v>
      </c>
      <c r="D59" s="58" t="s">
        <v>10</v>
      </c>
      <c r="E59" s="60">
        <v>0</v>
      </c>
      <c r="F59" s="60">
        <v>0</v>
      </c>
      <c r="G59" s="60">
        <v>0</v>
      </c>
      <c r="H59" s="61">
        <f t="shared" si="0"/>
        <v>0</v>
      </c>
    </row>
    <row r="60" spans="1:8" ht="15" x14ac:dyDescent="0.25">
      <c r="A60" s="58">
        <v>387</v>
      </c>
      <c r="B60" s="58" t="s">
        <v>89</v>
      </c>
      <c r="C60" s="59" t="s">
        <v>422</v>
      </c>
      <c r="D60" s="58" t="s">
        <v>90</v>
      </c>
      <c r="E60" s="60">
        <v>0</v>
      </c>
      <c r="F60" s="60">
        <v>0</v>
      </c>
      <c r="G60" s="60">
        <v>0</v>
      </c>
      <c r="H60" s="61">
        <f t="shared" si="0"/>
        <v>0</v>
      </c>
    </row>
    <row r="61" spans="1:8" ht="15" x14ac:dyDescent="0.25">
      <c r="A61" s="58">
        <v>417</v>
      </c>
      <c r="B61" s="58" t="s">
        <v>91</v>
      </c>
      <c r="C61" s="59" t="s">
        <v>422</v>
      </c>
      <c r="D61" s="58" t="s">
        <v>54</v>
      </c>
      <c r="E61" s="60">
        <v>0</v>
      </c>
      <c r="F61" s="60">
        <v>0</v>
      </c>
      <c r="G61" s="60">
        <v>0</v>
      </c>
      <c r="H61" s="61">
        <f t="shared" si="0"/>
        <v>0</v>
      </c>
    </row>
    <row r="62" spans="1:8" ht="15" x14ac:dyDescent="0.25">
      <c r="A62" s="58">
        <v>421</v>
      </c>
      <c r="B62" s="58" t="s">
        <v>92</v>
      </c>
      <c r="C62" s="59" t="s">
        <v>421</v>
      </c>
      <c r="D62" s="58" t="s">
        <v>64</v>
      </c>
      <c r="E62" s="60">
        <v>100</v>
      </c>
      <c r="F62" s="60">
        <v>0</v>
      </c>
      <c r="G62" s="60">
        <v>0</v>
      </c>
      <c r="H62" s="61">
        <f t="shared" si="0"/>
        <v>33.333333333333336</v>
      </c>
    </row>
    <row r="63" spans="1:8" ht="15" x14ac:dyDescent="0.25">
      <c r="A63" s="58">
        <v>1767</v>
      </c>
      <c r="B63" s="58" t="s">
        <v>93</v>
      </c>
      <c r="C63" s="59" t="s">
        <v>421</v>
      </c>
      <c r="D63" s="58" t="s">
        <v>59</v>
      </c>
      <c r="E63" s="60">
        <v>0</v>
      </c>
      <c r="F63" s="60">
        <v>0</v>
      </c>
      <c r="G63" s="60">
        <v>0</v>
      </c>
      <c r="H63" s="61">
        <f t="shared" si="0"/>
        <v>0</v>
      </c>
    </row>
    <row r="64" spans="1:8" ht="15" x14ac:dyDescent="0.25">
      <c r="A64" s="58">
        <v>1769</v>
      </c>
      <c r="B64" s="58" t="s">
        <v>94</v>
      </c>
      <c r="C64" s="59" t="s">
        <v>496</v>
      </c>
      <c r="D64" s="58" t="s">
        <v>95</v>
      </c>
      <c r="E64" s="60">
        <v>0</v>
      </c>
      <c r="F64" s="60">
        <v>0</v>
      </c>
      <c r="G64" s="60">
        <v>0</v>
      </c>
      <c r="H64" s="61">
        <f t="shared" si="0"/>
        <v>0</v>
      </c>
    </row>
    <row r="65" spans="1:8" ht="15" x14ac:dyDescent="0.25">
      <c r="A65" s="58">
        <v>1798</v>
      </c>
      <c r="B65" s="58" t="s">
        <v>96</v>
      </c>
      <c r="C65" s="59" t="s">
        <v>421</v>
      </c>
      <c r="D65" s="58" t="s">
        <v>10</v>
      </c>
      <c r="E65" s="60">
        <v>0</v>
      </c>
      <c r="F65" s="60">
        <v>0</v>
      </c>
      <c r="G65" s="60">
        <v>100</v>
      </c>
      <c r="H65" s="61">
        <f t="shared" si="0"/>
        <v>33.333333333333336</v>
      </c>
    </row>
    <row r="66" spans="1:8" ht="15" x14ac:dyDescent="0.25">
      <c r="A66" s="58">
        <v>1848</v>
      </c>
      <c r="B66" s="58" t="s">
        <v>97</v>
      </c>
      <c r="C66" s="59" t="s">
        <v>421</v>
      </c>
      <c r="D66" s="58" t="s">
        <v>86</v>
      </c>
      <c r="E66" s="60">
        <v>0</v>
      </c>
      <c r="F66" s="60">
        <v>0</v>
      </c>
      <c r="G66" s="60">
        <v>0</v>
      </c>
      <c r="H66" s="61">
        <f t="shared" si="0"/>
        <v>0</v>
      </c>
    </row>
    <row r="67" spans="1:8" ht="15" x14ac:dyDescent="0.25">
      <c r="A67" s="58">
        <v>1849</v>
      </c>
      <c r="B67" s="58" t="s">
        <v>98</v>
      </c>
      <c r="C67" s="59" t="s">
        <v>421</v>
      </c>
      <c r="D67" s="58" t="s">
        <v>99</v>
      </c>
      <c r="E67" s="60">
        <v>0</v>
      </c>
      <c r="F67" s="60">
        <v>0</v>
      </c>
      <c r="G67" s="60">
        <v>0</v>
      </c>
      <c r="H67" s="61">
        <f t="shared" ref="H67:H130" si="1">AVERAGE(E67:G67)</f>
        <v>0</v>
      </c>
    </row>
    <row r="68" spans="1:8" ht="15" x14ac:dyDescent="0.25">
      <c r="A68" s="58">
        <v>1891</v>
      </c>
      <c r="B68" s="58" t="s">
        <v>100</v>
      </c>
      <c r="C68" s="59" t="s">
        <v>422</v>
      </c>
      <c r="D68" s="58" t="s">
        <v>54</v>
      </c>
      <c r="E68" s="60">
        <v>0</v>
      </c>
      <c r="F68" s="60">
        <v>0</v>
      </c>
      <c r="G68" s="60">
        <v>0</v>
      </c>
      <c r="H68" s="61">
        <f t="shared" si="1"/>
        <v>0</v>
      </c>
    </row>
    <row r="69" spans="1:8" ht="15" x14ac:dyDescent="0.25">
      <c r="A69" s="58">
        <v>1894</v>
      </c>
      <c r="B69" s="58" t="s">
        <v>101</v>
      </c>
      <c r="C69" s="59" t="s">
        <v>496</v>
      </c>
      <c r="D69" s="58" t="s">
        <v>102</v>
      </c>
      <c r="E69" s="60">
        <v>0</v>
      </c>
      <c r="F69" s="60">
        <v>0</v>
      </c>
      <c r="G69" s="60">
        <v>0</v>
      </c>
      <c r="H69" s="61">
        <f t="shared" si="1"/>
        <v>0</v>
      </c>
    </row>
    <row r="70" spans="1:8" ht="15" x14ac:dyDescent="0.25">
      <c r="A70" s="58">
        <v>1899</v>
      </c>
      <c r="B70" s="58" t="s">
        <v>103</v>
      </c>
      <c r="C70" s="59" t="s">
        <v>500</v>
      </c>
      <c r="D70" s="58" t="s">
        <v>104</v>
      </c>
      <c r="E70" s="60">
        <v>0</v>
      </c>
      <c r="F70" s="60">
        <v>0</v>
      </c>
      <c r="G70" s="60">
        <v>0</v>
      </c>
      <c r="H70" s="61">
        <f t="shared" si="1"/>
        <v>0</v>
      </c>
    </row>
    <row r="71" spans="1:8" ht="15" x14ac:dyDescent="0.25">
      <c r="A71" s="58">
        <v>1937</v>
      </c>
      <c r="B71" s="58" t="s">
        <v>105</v>
      </c>
      <c r="C71" s="59" t="s">
        <v>431</v>
      </c>
      <c r="D71" s="58" t="s">
        <v>106</v>
      </c>
      <c r="E71" s="60">
        <v>0</v>
      </c>
      <c r="F71" s="60">
        <v>0</v>
      </c>
      <c r="G71" s="60">
        <v>0</v>
      </c>
      <c r="H71" s="61">
        <f t="shared" si="1"/>
        <v>0</v>
      </c>
    </row>
    <row r="72" spans="1:8" ht="15" x14ac:dyDescent="0.25">
      <c r="A72" s="58">
        <v>1991</v>
      </c>
      <c r="B72" s="58" t="s">
        <v>107</v>
      </c>
      <c r="C72" s="59" t="s">
        <v>431</v>
      </c>
      <c r="D72" s="58" t="s">
        <v>106</v>
      </c>
      <c r="E72" s="60">
        <v>0</v>
      </c>
      <c r="F72" s="60">
        <v>0</v>
      </c>
      <c r="G72" s="60">
        <v>0</v>
      </c>
      <c r="H72" s="61">
        <f t="shared" si="1"/>
        <v>0</v>
      </c>
    </row>
    <row r="73" spans="1:8" ht="15" x14ac:dyDescent="0.25">
      <c r="A73" s="58">
        <v>1999</v>
      </c>
      <c r="B73" s="58" t="s">
        <v>108</v>
      </c>
      <c r="C73" s="59" t="s">
        <v>497</v>
      </c>
      <c r="D73" s="58" t="s">
        <v>109</v>
      </c>
      <c r="E73" s="60">
        <v>0</v>
      </c>
      <c r="F73" s="60">
        <v>0</v>
      </c>
      <c r="G73" s="60">
        <v>0</v>
      </c>
      <c r="H73" s="61">
        <f t="shared" si="1"/>
        <v>0</v>
      </c>
    </row>
    <row r="74" spans="1:8" ht="15" x14ac:dyDescent="0.25">
      <c r="A74" s="58">
        <v>2008</v>
      </c>
      <c r="B74" s="58" t="s">
        <v>110</v>
      </c>
      <c r="C74" s="59" t="s">
        <v>421</v>
      </c>
      <c r="D74" s="58" t="s">
        <v>86</v>
      </c>
      <c r="E74" s="60">
        <v>0</v>
      </c>
      <c r="F74" s="60">
        <v>0</v>
      </c>
      <c r="G74" s="60">
        <v>0</v>
      </c>
      <c r="H74" s="61">
        <f t="shared" si="1"/>
        <v>0</v>
      </c>
    </row>
    <row r="75" spans="1:8" ht="15" x14ac:dyDescent="0.25">
      <c r="A75" s="58">
        <v>2041</v>
      </c>
      <c r="B75" s="58" t="s">
        <v>111</v>
      </c>
      <c r="C75" s="59" t="s">
        <v>421</v>
      </c>
      <c r="D75" s="58" t="s">
        <v>99</v>
      </c>
      <c r="E75" s="60">
        <v>0</v>
      </c>
      <c r="F75" s="60">
        <v>0</v>
      </c>
      <c r="G75" s="60">
        <v>0</v>
      </c>
      <c r="H75" s="61">
        <f t="shared" si="1"/>
        <v>0</v>
      </c>
    </row>
    <row r="76" spans="1:8" ht="15" x14ac:dyDescent="0.25">
      <c r="A76" s="58">
        <v>2062</v>
      </c>
      <c r="B76" s="58" t="s">
        <v>112</v>
      </c>
      <c r="C76" s="59" t="s">
        <v>431</v>
      </c>
      <c r="D76" s="58" t="s">
        <v>56</v>
      </c>
      <c r="E76" s="60">
        <v>0</v>
      </c>
      <c r="F76" s="60">
        <v>0</v>
      </c>
      <c r="G76" s="60">
        <v>0</v>
      </c>
      <c r="H76" s="61">
        <f t="shared" si="1"/>
        <v>0</v>
      </c>
    </row>
    <row r="77" spans="1:8" ht="15" x14ac:dyDescent="0.25">
      <c r="A77" s="58">
        <v>2138</v>
      </c>
      <c r="B77" s="58" t="s">
        <v>113</v>
      </c>
      <c r="C77" s="59" t="s">
        <v>429</v>
      </c>
      <c r="D77" s="58" t="s">
        <v>22</v>
      </c>
      <c r="E77" s="60">
        <v>0</v>
      </c>
      <c r="F77" s="60">
        <v>0</v>
      </c>
      <c r="G77" s="60">
        <v>0</v>
      </c>
      <c r="H77" s="61">
        <f t="shared" si="1"/>
        <v>0</v>
      </c>
    </row>
    <row r="78" spans="1:8" ht="15" x14ac:dyDescent="0.25">
      <c r="A78" s="58">
        <v>2154</v>
      </c>
      <c r="B78" s="58" t="s">
        <v>114</v>
      </c>
      <c r="C78" s="59" t="s">
        <v>422</v>
      </c>
      <c r="D78" s="58" t="s">
        <v>90</v>
      </c>
      <c r="E78" s="60">
        <v>0</v>
      </c>
      <c r="F78" s="60">
        <v>0</v>
      </c>
      <c r="G78" s="60">
        <v>0</v>
      </c>
      <c r="H78" s="61">
        <f t="shared" si="1"/>
        <v>0</v>
      </c>
    </row>
    <row r="79" spans="1:8" ht="15" x14ac:dyDescent="0.25">
      <c r="A79" s="58">
        <v>2190</v>
      </c>
      <c r="B79" s="58" t="s">
        <v>115</v>
      </c>
      <c r="C79" s="59" t="s">
        <v>421</v>
      </c>
      <c r="D79" s="58" t="s">
        <v>10</v>
      </c>
      <c r="E79" s="60">
        <v>0</v>
      </c>
      <c r="F79" s="60">
        <v>0</v>
      </c>
      <c r="G79" s="60">
        <v>0</v>
      </c>
      <c r="H79" s="61">
        <f t="shared" si="1"/>
        <v>0</v>
      </c>
    </row>
    <row r="80" spans="1:8" ht="15" x14ac:dyDescent="0.25">
      <c r="A80" s="58">
        <v>2280</v>
      </c>
      <c r="B80" s="58" t="s">
        <v>117</v>
      </c>
      <c r="C80" s="59" t="s">
        <v>421</v>
      </c>
      <c r="D80" s="58" t="s">
        <v>10</v>
      </c>
      <c r="E80" s="60">
        <v>0</v>
      </c>
      <c r="F80" s="60">
        <v>100</v>
      </c>
      <c r="G80" s="60">
        <v>0</v>
      </c>
      <c r="H80" s="61">
        <f t="shared" si="1"/>
        <v>33.333333333333336</v>
      </c>
    </row>
    <row r="81" spans="1:8" ht="15" x14ac:dyDescent="0.25">
      <c r="A81" s="58">
        <v>2304</v>
      </c>
      <c r="B81" s="58" t="s">
        <v>118</v>
      </c>
      <c r="C81" s="59" t="s">
        <v>421</v>
      </c>
      <c r="D81" s="58" t="s">
        <v>61</v>
      </c>
      <c r="E81" s="60">
        <v>0</v>
      </c>
      <c r="F81" s="60">
        <v>0</v>
      </c>
      <c r="G81" s="60">
        <v>0</v>
      </c>
      <c r="H81" s="61">
        <f t="shared" si="1"/>
        <v>0</v>
      </c>
    </row>
    <row r="82" spans="1:8" ht="15" x14ac:dyDescent="0.25">
      <c r="A82" s="58">
        <v>2345</v>
      </c>
      <c r="B82" s="58" t="s">
        <v>119</v>
      </c>
      <c r="C82" s="59" t="s">
        <v>431</v>
      </c>
      <c r="D82" s="58" t="s">
        <v>56</v>
      </c>
      <c r="E82" s="60">
        <v>0</v>
      </c>
      <c r="F82" s="60">
        <v>0</v>
      </c>
      <c r="G82" s="60">
        <v>0</v>
      </c>
      <c r="H82" s="61">
        <f t="shared" si="1"/>
        <v>0</v>
      </c>
    </row>
    <row r="83" spans="1:8" ht="15" x14ac:dyDescent="0.25">
      <c r="A83" s="58">
        <v>2376</v>
      </c>
      <c r="B83" s="58" t="s">
        <v>120</v>
      </c>
      <c r="C83" s="59" t="s">
        <v>421</v>
      </c>
      <c r="D83" s="58" t="s">
        <v>10</v>
      </c>
      <c r="E83" s="60">
        <v>0</v>
      </c>
      <c r="F83" s="60">
        <v>0</v>
      </c>
      <c r="G83" s="60">
        <v>0</v>
      </c>
      <c r="H83" s="61">
        <f t="shared" si="1"/>
        <v>0</v>
      </c>
    </row>
    <row r="84" spans="1:8" ht="15" x14ac:dyDescent="0.25">
      <c r="A84" s="58">
        <v>2437</v>
      </c>
      <c r="B84" s="58" t="s">
        <v>121</v>
      </c>
      <c r="C84" s="59" t="s">
        <v>422</v>
      </c>
      <c r="D84" s="58" t="s">
        <v>122</v>
      </c>
      <c r="E84" s="60">
        <v>0</v>
      </c>
      <c r="F84" s="60">
        <v>0</v>
      </c>
      <c r="G84" s="60">
        <v>0</v>
      </c>
      <c r="H84" s="61">
        <f t="shared" si="1"/>
        <v>0</v>
      </c>
    </row>
    <row r="85" spans="1:8" ht="15" x14ac:dyDescent="0.25">
      <c r="A85" s="58">
        <v>2462</v>
      </c>
      <c r="B85" s="58" t="s">
        <v>123</v>
      </c>
      <c r="C85" s="59" t="s">
        <v>421</v>
      </c>
      <c r="D85" s="58" t="s">
        <v>86</v>
      </c>
      <c r="E85" s="60">
        <v>0</v>
      </c>
      <c r="F85" s="60">
        <v>0</v>
      </c>
      <c r="G85" s="60">
        <v>0</v>
      </c>
      <c r="H85" s="61">
        <f t="shared" si="1"/>
        <v>0</v>
      </c>
    </row>
    <row r="86" spans="1:8" ht="15" x14ac:dyDescent="0.25">
      <c r="A86" s="58">
        <v>2542</v>
      </c>
      <c r="B86" s="58" t="s">
        <v>124</v>
      </c>
      <c r="C86" s="59" t="s">
        <v>431</v>
      </c>
      <c r="D86" s="58" t="s">
        <v>125</v>
      </c>
      <c r="E86" s="60">
        <v>0</v>
      </c>
      <c r="F86" s="60">
        <v>0</v>
      </c>
      <c r="G86" s="60">
        <v>0</v>
      </c>
      <c r="H86" s="61">
        <f t="shared" si="1"/>
        <v>0</v>
      </c>
    </row>
    <row r="87" spans="1:8" ht="15" x14ac:dyDescent="0.25">
      <c r="A87" s="58">
        <v>2556</v>
      </c>
      <c r="B87" s="58" t="s">
        <v>126</v>
      </c>
      <c r="C87" s="59" t="s">
        <v>424</v>
      </c>
      <c r="D87" s="58" t="s">
        <v>127</v>
      </c>
      <c r="E87" s="60">
        <v>100</v>
      </c>
      <c r="F87" s="60">
        <v>0</v>
      </c>
      <c r="G87" s="60">
        <v>100</v>
      </c>
      <c r="H87" s="61">
        <f t="shared" si="1"/>
        <v>66.666666666666671</v>
      </c>
    </row>
    <row r="88" spans="1:8" ht="15" x14ac:dyDescent="0.25">
      <c r="A88" s="58">
        <v>2628</v>
      </c>
      <c r="B88" s="58" t="s">
        <v>128</v>
      </c>
      <c r="C88" s="59" t="s">
        <v>422</v>
      </c>
      <c r="D88" s="58" t="s">
        <v>90</v>
      </c>
      <c r="E88" s="60">
        <v>0</v>
      </c>
      <c r="F88" s="60">
        <v>0</v>
      </c>
      <c r="G88" s="60">
        <v>0</v>
      </c>
      <c r="H88" s="61">
        <f t="shared" si="1"/>
        <v>0</v>
      </c>
    </row>
    <row r="89" spans="1:8" ht="15" x14ac:dyDescent="0.25">
      <c r="A89" s="58">
        <v>2629</v>
      </c>
      <c r="B89" s="58" t="s">
        <v>129</v>
      </c>
      <c r="C89" s="59" t="s">
        <v>421</v>
      </c>
      <c r="D89" s="58" t="s">
        <v>99</v>
      </c>
      <c r="E89" s="60">
        <v>0</v>
      </c>
      <c r="F89" s="60">
        <v>0</v>
      </c>
      <c r="G89" s="60">
        <v>0</v>
      </c>
      <c r="H89" s="61">
        <f t="shared" si="1"/>
        <v>0</v>
      </c>
    </row>
    <row r="90" spans="1:8" ht="15" x14ac:dyDescent="0.25">
      <c r="A90" s="58">
        <v>2635</v>
      </c>
      <c r="B90" s="58" t="s">
        <v>130</v>
      </c>
      <c r="C90" s="59" t="s">
        <v>429</v>
      </c>
      <c r="D90" s="58" t="s">
        <v>46</v>
      </c>
      <c r="E90" s="60">
        <v>0</v>
      </c>
      <c r="F90" s="60">
        <v>0</v>
      </c>
      <c r="G90" s="60">
        <v>0</v>
      </c>
      <c r="H90" s="61">
        <f t="shared" si="1"/>
        <v>0</v>
      </c>
    </row>
    <row r="91" spans="1:8" ht="15" x14ac:dyDescent="0.25">
      <c r="A91" s="58">
        <v>2696</v>
      </c>
      <c r="B91" s="58" t="s">
        <v>131</v>
      </c>
      <c r="C91" s="59" t="s">
        <v>429</v>
      </c>
      <c r="D91" s="58" t="s">
        <v>26</v>
      </c>
      <c r="E91" s="60">
        <v>100</v>
      </c>
      <c r="F91" s="60">
        <v>0</v>
      </c>
      <c r="G91" s="60">
        <v>0</v>
      </c>
      <c r="H91" s="61">
        <f t="shared" si="1"/>
        <v>33.333333333333336</v>
      </c>
    </row>
    <row r="92" spans="1:8" ht="15" x14ac:dyDescent="0.25">
      <c r="A92" s="58">
        <v>2815</v>
      </c>
      <c r="B92" s="58" t="s">
        <v>132</v>
      </c>
      <c r="C92" s="59" t="s">
        <v>421</v>
      </c>
      <c r="D92" s="58" t="s">
        <v>61</v>
      </c>
      <c r="E92" s="60">
        <v>0</v>
      </c>
      <c r="F92" s="60">
        <v>0</v>
      </c>
      <c r="G92" s="60">
        <v>0</v>
      </c>
      <c r="H92" s="61">
        <f t="shared" si="1"/>
        <v>0</v>
      </c>
    </row>
    <row r="93" spans="1:8" ht="15" x14ac:dyDescent="0.25">
      <c r="A93" s="58">
        <v>2865</v>
      </c>
      <c r="B93" s="58" t="s">
        <v>133</v>
      </c>
      <c r="C93" s="59" t="s">
        <v>421</v>
      </c>
      <c r="D93" s="58" t="s">
        <v>10</v>
      </c>
      <c r="E93" s="60">
        <v>0</v>
      </c>
      <c r="F93" s="60">
        <v>0</v>
      </c>
      <c r="G93" s="60">
        <v>0</v>
      </c>
      <c r="H93" s="61">
        <f t="shared" si="1"/>
        <v>0</v>
      </c>
    </row>
    <row r="94" spans="1:8" ht="15" x14ac:dyDescent="0.25">
      <c r="A94" s="58">
        <v>2867</v>
      </c>
      <c r="B94" s="58" t="s">
        <v>134</v>
      </c>
      <c r="C94" s="59" t="s">
        <v>429</v>
      </c>
      <c r="D94" s="58" t="s">
        <v>46</v>
      </c>
      <c r="E94" s="60">
        <v>0</v>
      </c>
      <c r="F94" s="60">
        <v>0</v>
      </c>
      <c r="G94" s="60">
        <v>0</v>
      </c>
      <c r="H94" s="61">
        <f t="shared" si="1"/>
        <v>0</v>
      </c>
    </row>
    <row r="95" spans="1:8" ht="15" x14ac:dyDescent="0.25">
      <c r="A95" s="58">
        <v>3111</v>
      </c>
      <c r="B95" s="58" t="s">
        <v>135</v>
      </c>
      <c r="C95" s="59" t="s">
        <v>496</v>
      </c>
      <c r="D95" s="58" t="s">
        <v>102</v>
      </c>
      <c r="E95" s="60">
        <v>0</v>
      </c>
      <c r="F95" s="60">
        <v>0</v>
      </c>
      <c r="G95" s="60">
        <v>0</v>
      </c>
      <c r="H95" s="61">
        <f t="shared" si="1"/>
        <v>0</v>
      </c>
    </row>
    <row r="96" spans="1:8" ht="15" x14ac:dyDescent="0.25">
      <c r="A96" s="58">
        <v>3113</v>
      </c>
      <c r="B96" s="58" t="s">
        <v>136</v>
      </c>
      <c r="C96" s="59" t="s">
        <v>421</v>
      </c>
      <c r="D96" s="58" t="s">
        <v>61</v>
      </c>
      <c r="E96" s="60">
        <v>0</v>
      </c>
      <c r="F96" s="60">
        <v>0</v>
      </c>
      <c r="G96" s="60">
        <v>0</v>
      </c>
      <c r="H96" s="61">
        <f t="shared" si="1"/>
        <v>0</v>
      </c>
    </row>
    <row r="97" spans="1:8" ht="15" x14ac:dyDescent="0.25">
      <c r="A97" s="58">
        <v>3176</v>
      </c>
      <c r="B97" s="58" t="s">
        <v>137</v>
      </c>
      <c r="C97" s="59" t="s">
        <v>421</v>
      </c>
      <c r="D97" s="58" t="s">
        <v>61</v>
      </c>
      <c r="E97" s="60">
        <v>0</v>
      </c>
      <c r="F97" s="60">
        <v>0</v>
      </c>
      <c r="G97" s="60">
        <v>0</v>
      </c>
      <c r="H97" s="61">
        <f t="shared" si="1"/>
        <v>0</v>
      </c>
    </row>
    <row r="98" spans="1:8" ht="15" x14ac:dyDescent="0.25">
      <c r="A98" s="58">
        <v>3351</v>
      </c>
      <c r="B98" s="58" t="s">
        <v>138</v>
      </c>
      <c r="C98" s="59" t="s">
        <v>422</v>
      </c>
      <c r="D98" s="58" t="s">
        <v>54</v>
      </c>
      <c r="E98" s="60">
        <v>0</v>
      </c>
      <c r="F98" s="60">
        <v>0</v>
      </c>
      <c r="G98" s="60">
        <v>0</v>
      </c>
      <c r="H98" s="61">
        <f t="shared" si="1"/>
        <v>0</v>
      </c>
    </row>
    <row r="99" spans="1:8" ht="15" x14ac:dyDescent="0.25">
      <c r="A99" s="58">
        <v>3366</v>
      </c>
      <c r="B99" s="58" t="s">
        <v>139</v>
      </c>
      <c r="C99" s="59" t="s">
        <v>421</v>
      </c>
      <c r="D99" s="58" t="s">
        <v>64</v>
      </c>
      <c r="E99" s="60">
        <v>0</v>
      </c>
      <c r="F99" s="60">
        <v>0</v>
      </c>
      <c r="G99" s="60">
        <v>0</v>
      </c>
      <c r="H99" s="61">
        <f>AVERAGE(E99:F99)</f>
        <v>0</v>
      </c>
    </row>
    <row r="100" spans="1:8" ht="15" x14ac:dyDescent="0.25">
      <c r="A100" s="58">
        <v>3410</v>
      </c>
      <c r="B100" s="58" t="s">
        <v>140</v>
      </c>
      <c r="C100" s="59" t="s">
        <v>497</v>
      </c>
      <c r="D100" s="58" t="s">
        <v>141</v>
      </c>
      <c r="E100" s="60">
        <v>0</v>
      </c>
      <c r="F100" s="60">
        <v>0</v>
      </c>
      <c r="G100" s="60">
        <v>0</v>
      </c>
      <c r="H100" s="61">
        <f t="shared" si="1"/>
        <v>0</v>
      </c>
    </row>
    <row r="101" spans="1:8" ht="15" x14ac:dyDescent="0.25">
      <c r="A101" s="58">
        <v>3412</v>
      </c>
      <c r="B101" s="58" t="s">
        <v>142</v>
      </c>
      <c r="C101" s="59" t="s">
        <v>424</v>
      </c>
      <c r="D101" s="58" t="s">
        <v>143</v>
      </c>
      <c r="E101" s="60">
        <v>100</v>
      </c>
      <c r="F101" s="60">
        <v>100</v>
      </c>
      <c r="G101" s="60">
        <v>0</v>
      </c>
      <c r="H101" s="61">
        <f t="shared" si="1"/>
        <v>66.666666666666671</v>
      </c>
    </row>
    <row r="102" spans="1:8" ht="15" x14ac:dyDescent="0.25">
      <c r="A102" s="58">
        <v>3438</v>
      </c>
      <c r="B102" s="58" t="s">
        <v>144</v>
      </c>
      <c r="C102" s="59" t="s">
        <v>422</v>
      </c>
      <c r="D102" s="58" t="s">
        <v>90</v>
      </c>
      <c r="E102" s="60">
        <v>0</v>
      </c>
      <c r="F102" s="60">
        <v>0</v>
      </c>
      <c r="G102" s="60">
        <v>0</v>
      </c>
      <c r="H102" s="61">
        <f t="shared" si="1"/>
        <v>0</v>
      </c>
    </row>
    <row r="103" spans="1:8" ht="15" x14ac:dyDescent="0.25">
      <c r="A103" s="58">
        <v>3443</v>
      </c>
      <c r="B103" s="58" t="s">
        <v>145</v>
      </c>
      <c r="C103" s="59" t="s">
        <v>421</v>
      </c>
      <c r="D103" s="58" t="s">
        <v>61</v>
      </c>
      <c r="E103" s="60">
        <v>0</v>
      </c>
      <c r="F103" s="60">
        <v>0</v>
      </c>
      <c r="G103" s="60">
        <v>0</v>
      </c>
      <c r="H103" s="61">
        <f t="shared" si="1"/>
        <v>0</v>
      </c>
    </row>
    <row r="104" spans="1:8" ht="15" x14ac:dyDescent="0.25">
      <c r="A104" s="58">
        <v>3458</v>
      </c>
      <c r="B104" s="58" t="s">
        <v>146</v>
      </c>
      <c r="C104" s="59" t="s">
        <v>421</v>
      </c>
      <c r="D104" s="58" t="s">
        <v>52</v>
      </c>
      <c r="E104" s="60">
        <v>0</v>
      </c>
      <c r="F104" s="60">
        <v>0</v>
      </c>
      <c r="G104" s="60">
        <v>0</v>
      </c>
      <c r="H104" s="61">
        <f t="shared" si="1"/>
        <v>0</v>
      </c>
    </row>
    <row r="105" spans="1:8" ht="15" x14ac:dyDescent="0.25">
      <c r="A105" s="58">
        <v>3463</v>
      </c>
      <c r="B105" s="58" t="s">
        <v>147</v>
      </c>
      <c r="C105" s="59" t="s">
        <v>496</v>
      </c>
      <c r="D105" s="58" t="s">
        <v>148</v>
      </c>
      <c r="E105" s="60">
        <v>0</v>
      </c>
      <c r="F105" s="60">
        <v>0</v>
      </c>
      <c r="G105" s="60">
        <v>0</v>
      </c>
      <c r="H105" s="61">
        <f t="shared" si="1"/>
        <v>0</v>
      </c>
    </row>
    <row r="106" spans="1:8" ht="15" x14ac:dyDescent="0.25">
      <c r="A106" s="58">
        <v>3468</v>
      </c>
      <c r="B106" s="58" t="s">
        <v>149</v>
      </c>
      <c r="C106" s="59" t="s">
        <v>431</v>
      </c>
      <c r="D106" s="58" t="s">
        <v>125</v>
      </c>
      <c r="E106" s="60">
        <v>0</v>
      </c>
      <c r="F106" s="60">
        <v>0</v>
      </c>
      <c r="G106" s="60">
        <v>0</v>
      </c>
      <c r="H106" s="61">
        <f t="shared" si="1"/>
        <v>0</v>
      </c>
    </row>
    <row r="107" spans="1:8" ht="15" x14ac:dyDescent="0.25">
      <c r="A107" s="58">
        <v>3482</v>
      </c>
      <c r="B107" s="58" t="s">
        <v>150</v>
      </c>
      <c r="C107" s="59" t="s">
        <v>421</v>
      </c>
      <c r="D107" s="58" t="s">
        <v>61</v>
      </c>
      <c r="E107" s="60">
        <v>0</v>
      </c>
      <c r="F107" s="60">
        <v>0</v>
      </c>
      <c r="G107" s="60">
        <v>0</v>
      </c>
      <c r="H107" s="61">
        <f t="shared" si="1"/>
        <v>0</v>
      </c>
    </row>
    <row r="108" spans="1:8" ht="15" x14ac:dyDescent="0.25">
      <c r="A108" s="58">
        <v>3486</v>
      </c>
      <c r="B108" s="58" t="s">
        <v>151</v>
      </c>
      <c r="C108" s="59" t="s">
        <v>496</v>
      </c>
      <c r="D108" s="58" t="s">
        <v>102</v>
      </c>
      <c r="E108" s="60">
        <v>0</v>
      </c>
      <c r="F108" s="60">
        <v>0</v>
      </c>
      <c r="G108" s="60">
        <v>0</v>
      </c>
      <c r="H108" s="61">
        <f t="shared" si="1"/>
        <v>0</v>
      </c>
    </row>
    <row r="109" spans="1:8" ht="15" x14ac:dyDescent="0.25">
      <c r="A109" s="58">
        <v>3502</v>
      </c>
      <c r="B109" s="58" t="s">
        <v>152</v>
      </c>
      <c r="C109" s="59" t="s">
        <v>421</v>
      </c>
      <c r="D109" s="58" t="s">
        <v>61</v>
      </c>
      <c r="E109" s="60">
        <v>0</v>
      </c>
      <c r="F109" s="60">
        <v>0</v>
      </c>
      <c r="G109" s="60">
        <v>0</v>
      </c>
      <c r="H109" s="61">
        <f t="shared" si="1"/>
        <v>0</v>
      </c>
    </row>
    <row r="110" spans="1:8" ht="15" x14ac:dyDescent="0.25">
      <c r="A110" s="58">
        <v>3522</v>
      </c>
      <c r="B110" s="58" t="s">
        <v>153</v>
      </c>
      <c r="C110" s="59" t="s">
        <v>429</v>
      </c>
      <c r="D110" s="58" t="s">
        <v>46</v>
      </c>
      <c r="E110" s="60">
        <v>0</v>
      </c>
      <c r="F110" s="60">
        <v>0</v>
      </c>
      <c r="G110" s="60">
        <v>0</v>
      </c>
      <c r="H110" s="61">
        <f t="shared" si="1"/>
        <v>0</v>
      </c>
    </row>
    <row r="111" spans="1:8" ht="15" x14ac:dyDescent="0.25">
      <c r="A111" s="58">
        <v>3549</v>
      </c>
      <c r="B111" s="58" t="s">
        <v>154</v>
      </c>
      <c r="C111" s="59" t="s">
        <v>431</v>
      </c>
      <c r="D111" s="58" t="s">
        <v>106</v>
      </c>
      <c r="E111" s="60">
        <v>0</v>
      </c>
      <c r="F111" s="60">
        <v>0</v>
      </c>
      <c r="G111" s="60">
        <v>0</v>
      </c>
      <c r="H111" s="61">
        <f t="shared" si="1"/>
        <v>0</v>
      </c>
    </row>
    <row r="112" spans="1:8" ht="15" x14ac:dyDescent="0.25">
      <c r="A112" s="58">
        <v>3551</v>
      </c>
      <c r="B112" s="58" t="s">
        <v>155</v>
      </c>
      <c r="C112" s="59" t="s">
        <v>421</v>
      </c>
      <c r="D112" s="58" t="s">
        <v>61</v>
      </c>
      <c r="E112" s="60">
        <v>0</v>
      </c>
      <c r="F112" s="60">
        <v>0</v>
      </c>
      <c r="G112" s="60">
        <v>0</v>
      </c>
      <c r="H112" s="61">
        <f t="shared" si="1"/>
        <v>0</v>
      </c>
    </row>
    <row r="113" spans="1:8" ht="15" x14ac:dyDescent="0.25">
      <c r="A113" s="58">
        <v>3565</v>
      </c>
      <c r="B113" s="58" t="s">
        <v>156</v>
      </c>
      <c r="C113" s="59" t="s">
        <v>421</v>
      </c>
      <c r="D113" s="58" t="s">
        <v>61</v>
      </c>
      <c r="E113" s="60">
        <v>0</v>
      </c>
      <c r="F113" s="60">
        <v>0</v>
      </c>
      <c r="G113" s="60">
        <v>0</v>
      </c>
      <c r="H113" s="61">
        <f t="shared" si="1"/>
        <v>0</v>
      </c>
    </row>
    <row r="114" spans="1:8" ht="15" x14ac:dyDescent="0.25">
      <c r="A114" s="58">
        <v>3566</v>
      </c>
      <c r="B114" s="58" t="s">
        <v>157</v>
      </c>
      <c r="C114" s="59" t="s">
        <v>500</v>
      </c>
      <c r="D114" s="58" t="s">
        <v>158</v>
      </c>
      <c r="E114" s="60">
        <v>0</v>
      </c>
      <c r="F114" s="60">
        <v>0</v>
      </c>
      <c r="G114" s="60">
        <v>0</v>
      </c>
      <c r="H114" s="61">
        <f t="shared" si="1"/>
        <v>0</v>
      </c>
    </row>
    <row r="115" spans="1:8" ht="15" x14ac:dyDescent="0.25">
      <c r="A115" s="58">
        <v>3567</v>
      </c>
      <c r="B115" s="58" t="s">
        <v>159</v>
      </c>
      <c r="C115" s="59" t="s">
        <v>421</v>
      </c>
      <c r="D115" s="58" t="s">
        <v>125</v>
      </c>
      <c r="E115" s="60">
        <v>0</v>
      </c>
      <c r="F115" s="60">
        <v>0</v>
      </c>
      <c r="G115" s="60">
        <v>0</v>
      </c>
      <c r="H115" s="61">
        <f t="shared" si="1"/>
        <v>0</v>
      </c>
    </row>
    <row r="116" spans="1:8" ht="15" x14ac:dyDescent="0.25">
      <c r="A116" s="58">
        <v>3572</v>
      </c>
      <c r="B116" s="58" t="s">
        <v>160</v>
      </c>
      <c r="C116" s="59" t="s">
        <v>500</v>
      </c>
      <c r="D116" s="58" t="s">
        <v>104</v>
      </c>
      <c r="E116" s="60">
        <v>0</v>
      </c>
      <c r="F116" s="60">
        <v>0</v>
      </c>
      <c r="G116" s="60">
        <v>0</v>
      </c>
      <c r="H116" s="61">
        <f t="shared" si="1"/>
        <v>0</v>
      </c>
    </row>
    <row r="117" spans="1:8" ht="15" x14ac:dyDescent="0.25">
      <c r="A117" s="58">
        <v>3576</v>
      </c>
      <c r="B117" s="58" t="s">
        <v>161</v>
      </c>
      <c r="C117" s="59" t="s">
        <v>500</v>
      </c>
      <c r="D117" s="58" t="s">
        <v>104</v>
      </c>
      <c r="E117" s="60">
        <v>0</v>
      </c>
      <c r="F117" s="60">
        <v>0</v>
      </c>
      <c r="G117" s="60">
        <v>0</v>
      </c>
      <c r="H117" s="61">
        <f t="shared" si="1"/>
        <v>0</v>
      </c>
    </row>
    <row r="118" spans="1:8" ht="15" x14ac:dyDescent="0.25">
      <c r="A118" s="58">
        <v>3582</v>
      </c>
      <c r="B118" s="58" t="s">
        <v>162</v>
      </c>
      <c r="C118" s="59" t="s">
        <v>496</v>
      </c>
      <c r="D118" s="58" t="s">
        <v>163</v>
      </c>
      <c r="E118" s="60">
        <v>0</v>
      </c>
      <c r="F118" s="60">
        <v>0</v>
      </c>
      <c r="G118" s="60">
        <v>0</v>
      </c>
      <c r="H118" s="61">
        <f t="shared" si="1"/>
        <v>0</v>
      </c>
    </row>
    <row r="119" spans="1:8" ht="15" x14ac:dyDescent="0.25">
      <c r="A119" s="58">
        <v>3597</v>
      </c>
      <c r="B119" s="58" t="s">
        <v>164</v>
      </c>
      <c r="C119" s="59" t="s">
        <v>429</v>
      </c>
      <c r="D119" s="58" t="s">
        <v>46</v>
      </c>
      <c r="E119" s="60">
        <v>0</v>
      </c>
      <c r="F119" s="60">
        <v>0</v>
      </c>
      <c r="G119" s="60">
        <v>0</v>
      </c>
      <c r="H119" s="61">
        <f t="shared" si="1"/>
        <v>0</v>
      </c>
    </row>
    <row r="120" spans="1:8" ht="15" x14ac:dyDescent="0.25">
      <c r="A120" s="58">
        <v>3598</v>
      </c>
      <c r="B120" s="58" t="s">
        <v>165</v>
      </c>
      <c r="C120" s="59" t="s">
        <v>429</v>
      </c>
      <c r="D120" s="58" t="s">
        <v>46</v>
      </c>
      <c r="E120" s="60">
        <v>0</v>
      </c>
      <c r="F120" s="60">
        <v>0</v>
      </c>
      <c r="G120" s="60">
        <v>0</v>
      </c>
      <c r="H120" s="61">
        <f t="shared" si="1"/>
        <v>0</v>
      </c>
    </row>
    <row r="121" spans="1:8" ht="15" x14ac:dyDescent="0.25">
      <c r="A121" s="58">
        <v>3614</v>
      </c>
      <c r="B121" s="58" t="s">
        <v>166</v>
      </c>
      <c r="C121" s="59" t="s">
        <v>429</v>
      </c>
      <c r="D121" s="58" t="s">
        <v>26</v>
      </c>
      <c r="E121" s="60">
        <v>0</v>
      </c>
      <c r="F121" s="60">
        <v>0</v>
      </c>
      <c r="G121" s="60">
        <v>0</v>
      </c>
      <c r="H121" s="61">
        <f t="shared" si="1"/>
        <v>0</v>
      </c>
    </row>
    <row r="122" spans="1:8" ht="15" x14ac:dyDescent="0.25">
      <c r="A122" s="58">
        <v>3616</v>
      </c>
      <c r="B122" s="58" t="s">
        <v>167</v>
      </c>
      <c r="C122" s="59" t="s">
        <v>422</v>
      </c>
      <c r="D122" s="58" t="s">
        <v>109</v>
      </c>
      <c r="E122" s="60">
        <v>0</v>
      </c>
      <c r="F122" s="60">
        <v>0</v>
      </c>
      <c r="G122" s="60">
        <v>0</v>
      </c>
      <c r="H122" s="61">
        <f t="shared" si="1"/>
        <v>0</v>
      </c>
    </row>
    <row r="123" spans="1:8" ht="15" x14ac:dyDescent="0.25">
      <c r="A123" s="58">
        <v>3620</v>
      </c>
      <c r="B123" s="58" t="s">
        <v>168</v>
      </c>
      <c r="C123" s="59" t="s">
        <v>429</v>
      </c>
      <c r="D123" s="58" t="s">
        <v>46</v>
      </c>
      <c r="E123" s="60">
        <v>0</v>
      </c>
      <c r="F123" s="60">
        <v>0</v>
      </c>
      <c r="G123" s="60">
        <v>0</v>
      </c>
      <c r="H123" s="61">
        <f t="shared" si="1"/>
        <v>0</v>
      </c>
    </row>
    <row r="124" spans="1:8" ht="15" x14ac:dyDescent="0.25">
      <c r="A124" s="58">
        <v>3649</v>
      </c>
      <c r="B124" s="58" t="s">
        <v>169</v>
      </c>
      <c r="C124" s="59" t="s">
        <v>496</v>
      </c>
      <c r="D124" s="58" t="s">
        <v>170</v>
      </c>
      <c r="E124" s="60">
        <v>0</v>
      </c>
      <c r="F124" s="60">
        <v>0</v>
      </c>
      <c r="G124" s="60">
        <v>0</v>
      </c>
      <c r="H124" s="61">
        <f t="shared" si="1"/>
        <v>0</v>
      </c>
    </row>
    <row r="125" spans="1:8" ht="15" x14ac:dyDescent="0.25">
      <c r="A125" s="58">
        <v>3650</v>
      </c>
      <c r="B125" s="58" t="s">
        <v>171</v>
      </c>
      <c r="C125" s="59" t="s">
        <v>431</v>
      </c>
      <c r="D125" s="58" t="s">
        <v>125</v>
      </c>
      <c r="E125" s="60">
        <v>0</v>
      </c>
      <c r="F125" s="60">
        <v>0</v>
      </c>
      <c r="G125" s="60">
        <v>0</v>
      </c>
      <c r="H125" s="61">
        <f t="shared" si="1"/>
        <v>0</v>
      </c>
    </row>
    <row r="126" spans="1:8" ht="15" x14ac:dyDescent="0.25">
      <c r="A126" s="58">
        <v>3655</v>
      </c>
      <c r="B126" s="58" t="s">
        <v>172</v>
      </c>
      <c r="C126" s="59" t="s">
        <v>429</v>
      </c>
      <c r="D126" s="58" t="s">
        <v>46</v>
      </c>
      <c r="E126" s="60">
        <v>0</v>
      </c>
      <c r="F126" s="60">
        <v>0</v>
      </c>
      <c r="G126" s="60">
        <v>0</v>
      </c>
      <c r="H126" s="61">
        <f t="shared" si="1"/>
        <v>0</v>
      </c>
    </row>
    <row r="127" spans="1:8" ht="15" x14ac:dyDescent="0.25">
      <c r="A127" s="58">
        <v>3656</v>
      </c>
      <c r="B127" s="58" t="s">
        <v>173</v>
      </c>
      <c r="C127" s="59" t="s">
        <v>431</v>
      </c>
      <c r="D127" s="58" t="s">
        <v>106</v>
      </c>
      <c r="E127" s="60">
        <v>100</v>
      </c>
      <c r="F127" s="60">
        <v>0</v>
      </c>
      <c r="G127" s="60">
        <v>0</v>
      </c>
      <c r="H127" s="61">
        <f t="shared" si="1"/>
        <v>33.333333333333336</v>
      </c>
    </row>
    <row r="128" spans="1:8" ht="15" x14ac:dyDescent="0.25">
      <c r="A128" s="58">
        <v>3662</v>
      </c>
      <c r="B128" s="58" t="s">
        <v>174</v>
      </c>
      <c r="C128" s="59" t="s">
        <v>495</v>
      </c>
      <c r="D128" s="58" t="s">
        <v>24</v>
      </c>
      <c r="E128" s="60">
        <v>0</v>
      </c>
      <c r="F128" s="60">
        <v>0</v>
      </c>
      <c r="G128" s="60">
        <v>0</v>
      </c>
      <c r="H128" s="61">
        <f t="shared" si="1"/>
        <v>0</v>
      </c>
    </row>
    <row r="129" spans="1:8" ht="15" x14ac:dyDescent="0.25">
      <c r="A129" s="58">
        <v>3664</v>
      </c>
      <c r="B129" s="58" t="s">
        <v>175</v>
      </c>
      <c r="C129" s="59" t="s">
        <v>431</v>
      </c>
      <c r="D129" s="58" t="s">
        <v>24</v>
      </c>
      <c r="E129" s="60">
        <v>0</v>
      </c>
      <c r="F129" s="60">
        <v>0</v>
      </c>
      <c r="G129" s="60">
        <v>0</v>
      </c>
      <c r="H129" s="61">
        <f t="shared" si="1"/>
        <v>0</v>
      </c>
    </row>
    <row r="130" spans="1:8" ht="15" x14ac:dyDescent="0.25">
      <c r="A130" s="58">
        <v>3694</v>
      </c>
      <c r="B130" s="58" t="s">
        <v>176</v>
      </c>
      <c r="C130" s="59" t="s">
        <v>431</v>
      </c>
      <c r="D130" s="58" t="s">
        <v>125</v>
      </c>
      <c r="E130" s="60">
        <v>0</v>
      </c>
      <c r="F130" s="60">
        <v>0</v>
      </c>
      <c r="G130" s="60">
        <v>0</v>
      </c>
      <c r="H130" s="61">
        <f t="shared" si="1"/>
        <v>0</v>
      </c>
    </row>
    <row r="131" spans="1:8" ht="15" x14ac:dyDescent="0.25">
      <c r="A131" s="58">
        <v>3710</v>
      </c>
      <c r="B131" s="58" t="s">
        <v>177</v>
      </c>
      <c r="C131" s="59" t="s">
        <v>429</v>
      </c>
      <c r="D131" s="58" t="s">
        <v>46</v>
      </c>
      <c r="E131" s="60">
        <v>0</v>
      </c>
      <c r="F131" s="60">
        <v>0</v>
      </c>
      <c r="G131" s="60">
        <v>0</v>
      </c>
      <c r="H131" s="61">
        <f t="shared" ref="H131:H194" si="2">AVERAGE(E131:G131)</f>
        <v>0</v>
      </c>
    </row>
    <row r="132" spans="1:8" ht="15" x14ac:dyDescent="0.25">
      <c r="A132" s="58">
        <v>3746</v>
      </c>
      <c r="B132" s="58" t="s">
        <v>178</v>
      </c>
      <c r="C132" s="59" t="s">
        <v>424</v>
      </c>
      <c r="D132" s="58" t="s">
        <v>143</v>
      </c>
      <c r="E132" s="60">
        <v>100</v>
      </c>
      <c r="F132" s="60">
        <v>0</v>
      </c>
      <c r="G132" s="60">
        <v>0</v>
      </c>
      <c r="H132" s="61">
        <f t="shared" si="2"/>
        <v>33.333333333333336</v>
      </c>
    </row>
    <row r="133" spans="1:8" ht="15" x14ac:dyDescent="0.25">
      <c r="A133" s="58">
        <v>3760</v>
      </c>
      <c r="B133" s="58" t="s">
        <v>179</v>
      </c>
      <c r="C133" s="59" t="s">
        <v>431</v>
      </c>
      <c r="D133" s="58" t="s">
        <v>125</v>
      </c>
      <c r="E133" s="60">
        <v>0</v>
      </c>
      <c r="F133" s="60">
        <v>0</v>
      </c>
      <c r="G133" s="60">
        <v>0</v>
      </c>
      <c r="H133" s="61">
        <f t="shared" si="2"/>
        <v>0</v>
      </c>
    </row>
    <row r="134" spans="1:8" ht="15" x14ac:dyDescent="0.25">
      <c r="A134" s="58">
        <v>3770</v>
      </c>
      <c r="B134" s="58" t="s">
        <v>180</v>
      </c>
      <c r="C134" s="59" t="s">
        <v>422</v>
      </c>
      <c r="D134" s="58" t="s">
        <v>54</v>
      </c>
      <c r="E134" s="60">
        <v>0</v>
      </c>
      <c r="F134" s="60">
        <v>0</v>
      </c>
      <c r="G134" s="60">
        <v>0</v>
      </c>
      <c r="H134" s="61">
        <f t="shared" si="2"/>
        <v>0</v>
      </c>
    </row>
    <row r="135" spans="1:8" ht="15" x14ac:dyDescent="0.25">
      <c r="A135" s="58">
        <v>3796</v>
      </c>
      <c r="B135" s="58" t="s">
        <v>181</v>
      </c>
      <c r="C135" s="59" t="s">
        <v>429</v>
      </c>
      <c r="D135" s="58" t="s">
        <v>26</v>
      </c>
      <c r="E135" s="60">
        <v>0</v>
      </c>
      <c r="F135" s="60">
        <v>0</v>
      </c>
      <c r="G135" s="60">
        <v>0</v>
      </c>
      <c r="H135" s="61">
        <f t="shared" si="2"/>
        <v>0</v>
      </c>
    </row>
    <row r="136" spans="1:8" ht="15" x14ac:dyDescent="0.25">
      <c r="A136" s="58">
        <v>3800</v>
      </c>
      <c r="B136" s="58" t="s">
        <v>182</v>
      </c>
      <c r="C136" s="59" t="s">
        <v>421</v>
      </c>
      <c r="D136" s="58" t="s">
        <v>10</v>
      </c>
      <c r="E136" s="60">
        <v>0</v>
      </c>
      <c r="F136" s="60">
        <v>0</v>
      </c>
      <c r="G136" s="60">
        <v>0</v>
      </c>
      <c r="H136" s="61">
        <f t="shared" si="2"/>
        <v>0</v>
      </c>
    </row>
    <row r="137" spans="1:8" ht="15" x14ac:dyDescent="0.25">
      <c r="A137" s="58">
        <v>3801</v>
      </c>
      <c r="B137" s="58" t="s">
        <v>183</v>
      </c>
      <c r="C137" s="59" t="s">
        <v>421</v>
      </c>
      <c r="D137" s="58" t="s">
        <v>10</v>
      </c>
      <c r="E137" s="60">
        <v>0</v>
      </c>
      <c r="F137" s="60">
        <v>0</v>
      </c>
      <c r="G137" s="60">
        <v>0</v>
      </c>
      <c r="H137" s="61">
        <f t="shared" si="2"/>
        <v>0</v>
      </c>
    </row>
    <row r="138" spans="1:8" ht="15" x14ac:dyDescent="0.25">
      <c r="A138" s="58">
        <v>3802</v>
      </c>
      <c r="B138" s="58" t="s">
        <v>184</v>
      </c>
      <c r="C138" s="59" t="s">
        <v>422</v>
      </c>
      <c r="D138" s="58" t="s">
        <v>54</v>
      </c>
      <c r="E138" s="60">
        <v>0</v>
      </c>
      <c r="F138" s="60">
        <v>0</v>
      </c>
      <c r="G138" s="60">
        <v>0</v>
      </c>
      <c r="H138" s="61">
        <f t="shared" si="2"/>
        <v>0</v>
      </c>
    </row>
    <row r="139" spans="1:8" ht="15" x14ac:dyDescent="0.25">
      <c r="A139" s="58">
        <v>3805</v>
      </c>
      <c r="B139" s="58" t="s">
        <v>185</v>
      </c>
      <c r="C139" s="59" t="s">
        <v>421</v>
      </c>
      <c r="D139" s="58" t="s">
        <v>99</v>
      </c>
      <c r="E139" s="60">
        <v>0</v>
      </c>
      <c r="F139" s="60">
        <v>0</v>
      </c>
      <c r="G139" s="60">
        <v>0</v>
      </c>
      <c r="H139" s="61">
        <f>AVERAGE(E139:F139)</f>
        <v>0</v>
      </c>
    </row>
    <row r="140" spans="1:8" ht="15" x14ac:dyDescent="0.25">
      <c r="A140" s="58">
        <v>3807</v>
      </c>
      <c r="B140" s="58" t="s">
        <v>186</v>
      </c>
      <c r="C140" s="59" t="s">
        <v>495</v>
      </c>
      <c r="D140" s="58" t="s">
        <v>24</v>
      </c>
      <c r="E140" s="60">
        <v>0</v>
      </c>
      <c r="F140" s="60">
        <v>0</v>
      </c>
      <c r="G140" s="60">
        <v>0</v>
      </c>
      <c r="H140" s="61">
        <f t="shared" si="2"/>
        <v>0</v>
      </c>
    </row>
    <row r="141" spans="1:8" ht="15" x14ac:dyDescent="0.25">
      <c r="A141" s="58">
        <v>3808</v>
      </c>
      <c r="B141" s="58" t="s">
        <v>187</v>
      </c>
      <c r="C141" s="59" t="s">
        <v>500</v>
      </c>
      <c r="D141" s="58" t="s">
        <v>104</v>
      </c>
      <c r="E141" s="60">
        <v>0</v>
      </c>
      <c r="F141" s="60">
        <v>0</v>
      </c>
      <c r="G141" s="60">
        <v>0</v>
      </c>
      <c r="H141" s="61">
        <f t="shared" si="2"/>
        <v>0</v>
      </c>
    </row>
    <row r="142" spans="1:8" ht="15" x14ac:dyDescent="0.25">
      <c r="A142" s="58">
        <v>3825</v>
      </c>
      <c r="B142" s="58" t="s">
        <v>188</v>
      </c>
      <c r="C142" s="59" t="s">
        <v>421</v>
      </c>
      <c r="D142" s="58" t="s">
        <v>61</v>
      </c>
      <c r="E142" s="60">
        <v>0</v>
      </c>
      <c r="F142" s="60">
        <v>0</v>
      </c>
      <c r="G142" s="60">
        <v>0</v>
      </c>
      <c r="H142" s="61">
        <f t="shared" si="2"/>
        <v>0</v>
      </c>
    </row>
    <row r="143" spans="1:8" ht="15" x14ac:dyDescent="0.25">
      <c r="A143" s="58">
        <v>3830</v>
      </c>
      <c r="B143" s="58" t="s">
        <v>191</v>
      </c>
      <c r="C143" s="59" t="s">
        <v>421</v>
      </c>
      <c r="D143" s="58" t="s">
        <v>61</v>
      </c>
      <c r="E143" s="60">
        <v>0</v>
      </c>
      <c r="F143" s="60">
        <v>0</v>
      </c>
      <c r="G143" s="60">
        <v>0</v>
      </c>
      <c r="H143" s="61">
        <f t="shared" si="2"/>
        <v>0</v>
      </c>
    </row>
    <row r="144" spans="1:8" ht="15" x14ac:dyDescent="0.25">
      <c r="A144" s="58">
        <v>3844</v>
      </c>
      <c r="B144" s="58" t="s">
        <v>192</v>
      </c>
      <c r="C144" s="59" t="s">
        <v>495</v>
      </c>
      <c r="D144" s="58" t="s">
        <v>24</v>
      </c>
      <c r="E144" s="60">
        <v>0</v>
      </c>
      <c r="F144" s="60">
        <v>0</v>
      </c>
      <c r="G144" s="60">
        <v>0</v>
      </c>
      <c r="H144" s="61">
        <f t="shared" si="2"/>
        <v>0</v>
      </c>
    </row>
    <row r="145" spans="1:8" ht="15" x14ac:dyDescent="0.25">
      <c r="A145" s="58">
        <v>3847</v>
      </c>
      <c r="B145" s="58" t="s">
        <v>193</v>
      </c>
      <c r="C145" s="59" t="s">
        <v>429</v>
      </c>
      <c r="D145" s="58" t="s">
        <v>46</v>
      </c>
      <c r="E145" s="60">
        <v>0</v>
      </c>
      <c r="F145" s="60">
        <v>0</v>
      </c>
      <c r="G145" s="60">
        <v>0</v>
      </c>
      <c r="H145" s="61">
        <f t="shared" si="2"/>
        <v>0</v>
      </c>
    </row>
    <row r="146" spans="1:8" ht="15" x14ac:dyDescent="0.25">
      <c r="A146" s="58">
        <v>3848</v>
      </c>
      <c r="B146" s="58" t="s">
        <v>194</v>
      </c>
      <c r="C146" s="59" t="s">
        <v>431</v>
      </c>
      <c r="D146" s="58" t="s">
        <v>125</v>
      </c>
      <c r="E146" s="60">
        <v>0</v>
      </c>
      <c r="F146" s="60">
        <v>0</v>
      </c>
      <c r="G146" s="60">
        <v>0</v>
      </c>
      <c r="H146" s="61">
        <f t="shared" si="2"/>
        <v>0</v>
      </c>
    </row>
    <row r="147" spans="1:8" ht="15" x14ac:dyDescent="0.25">
      <c r="A147" s="58">
        <v>3850</v>
      </c>
      <c r="B147" s="58" t="s">
        <v>195</v>
      </c>
      <c r="C147" s="59" t="s">
        <v>431</v>
      </c>
      <c r="D147" s="58" t="s">
        <v>125</v>
      </c>
      <c r="E147" s="60">
        <v>0</v>
      </c>
      <c r="F147" s="60">
        <v>0</v>
      </c>
      <c r="G147" s="60">
        <v>0</v>
      </c>
      <c r="H147" s="61">
        <f t="shared" si="2"/>
        <v>0</v>
      </c>
    </row>
    <row r="148" spans="1:8" ht="15" x14ac:dyDescent="0.25">
      <c r="A148" s="58">
        <v>3864</v>
      </c>
      <c r="B148" s="58" t="s">
        <v>196</v>
      </c>
      <c r="C148" s="59" t="s">
        <v>421</v>
      </c>
      <c r="D148" s="58" t="s">
        <v>61</v>
      </c>
      <c r="E148" s="60">
        <v>0</v>
      </c>
      <c r="F148" s="60">
        <v>0</v>
      </c>
      <c r="G148" s="60">
        <v>0</v>
      </c>
      <c r="H148" s="61">
        <f t="shared" si="2"/>
        <v>0</v>
      </c>
    </row>
    <row r="149" spans="1:8" ht="15" x14ac:dyDescent="0.25">
      <c r="A149" s="58">
        <v>3868</v>
      </c>
      <c r="B149" s="58" t="s">
        <v>197</v>
      </c>
      <c r="C149" s="59" t="s">
        <v>421</v>
      </c>
      <c r="D149" s="58" t="s">
        <v>198</v>
      </c>
      <c r="E149" s="60">
        <v>0</v>
      </c>
      <c r="F149" s="60">
        <v>0</v>
      </c>
      <c r="G149" s="60">
        <v>0</v>
      </c>
      <c r="H149" s="61">
        <f>AVERAGE(E149:F149)</f>
        <v>0</v>
      </c>
    </row>
    <row r="150" spans="1:8" ht="15" x14ac:dyDescent="0.25">
      <c r="A150" s="58">
        <v>3875</v>
      </c>
      <c r="B150" s="58" t="s">
        <v>199</v>
      </c>
      <c r="C150" s="59" t="s">
        <v>421</v>
      </c>
      <c r="D150" s="58" t="s">
        <v>61</v>
      </c>
      <c r="E150" s="60">
        <v>0</v>
      </c>
      <c r="F150" s="60">
        <v>0</v>
      </c>
      <c r="G150" s="60">
        <v>0</v>
      </c>
      <c r="H150" s="61">
        <f t="shared" si="2"/>
        <v>0</v>
      </c>
    </row>
    <row r="151" spans="1:8" ht="15" x14ac:dyDescent="0.25">
      <c r="A151" s="58">
        <v>3878</v>
      </c>
      <c r="B151" s="58" t="s">
        <v>200</v>
      </c>
      <c r="C151" s="59" t="s">
        <v>429</v>
      </c>
      <c r="D151" s="58" t="s">
        <v>46</v>
      </c>
      <c r="E151" s="60">
        <v>0</v>
      </c>
      <c r="F151" s="60">
        <v>0</v>
      </c>
      <c r="G151" s="60">
        <v>0</v>
      </c>
      <c r="H151" s="61">
        <f t="shared" si="2"/>
        <v>0</v>
      </c>
    </row>
    <row r="152" spans="1:8" ht="15" x14ac:dyDescent="0.25">
      <c r="A152" s="58">
        <v>3886</v>
      </c>
      <c r="B152" s="58" t="s">
        <v>201</v>
      </c>
      <c r="C152" s="59" t="s">
        <v>422</v>
      </c>
      <c r="D152" s="58" t="s">
        <v>54</v>
      </c>
      <c r="E152" s="60">
        <v>0</v>
      </c>
      <c r="F152" s="60">
        <v>0</v>
      </c>
      <c r="G152" s="60">
        <v>0</v>
      </c>
      <c r="H152" s="61">
        <f t="shared" si="2"/>
        <v>0</v>
      </c>
    </row>
    <row r="153" spans="1:8" ht="15" x14ac:dyDescent="0.25">
      <c r="A153" s="58">
        <v>3911</v>
      </c>
      <c r="B153" s="58" t="s">
        <v>202</v>
      </c>
      <c r="C153" s="59" t="s">
        <v>500</v>
      </c>
      <c r="D153" s="58" t="s">
        <v>69</v>
      </c>
      <c r="E153" s="60">
        <v>100</v>
      </c>
      <c r="F153" s="60">
        <v>0</v>
      </c>
      <c r="G153" s="60">
        <v>0</v>
      </c>
      <c r="H153" s="61">
        <f t="shared" si="2"/>
        <v>33.333333333333336</v>
      </c>
    </row>
    <row r="154" spans="1:8" ht="15" x14ac:dyDescent="0.25">
      <c r="A154" s="58">
        <v>3913</v>
      </c>
      <c r="B154" s="58" t="s">
        <v>203</v>
      </c>
      <c r="C154" s="59" t="s">
        <v>422</v>
      </c>
      <c r="D154" s="58" t="s">
        <v>54</v>
      </c>
      <c r="E154" s="60">
        <v>0</v>
      </c>
      <c r="F154" s="60">
        <v>0</v>
      </c>
      <c r="G154" s="60">
        <v>0</v>
      </c>
      <c r="H154" s="61">
        <f t="shared" si="2"/>
        <v>0</v>
      </c>
    </row>
    <row r="155" spans="1:8" ht="15" x14ac:dyDescent="0.25">
      <c r="A155" s="58">
        <v>3927</v>
      </c>
      <c r="B155" s="58" t="s">
        <v>204</v>
      </c>
      <c r="C155" s="59" t="s">
        <v>422</v>
      </c>
      <c r="D155" s="58" t="s">
        <v>54</v>
      </c>
      <c r="E155" s="60">
        <v>0</v>
      </c>
      <c r="F155" s="60">
        <v>0</v>
      </c>
      <c r="G155" s="60">
        <v>0</v>
      </c>
      <c r="H155" s="61">
        <f t="shared" si="2"/>
        <v>0</v>
      </c>
    </row>
    <row r="156" spans="1:8" ht="15" x14ac:dyDescent="0.25">
      <c r="A156" s="58">
        <v>3930</v>
      </c>
      <c r="B156" s="58" t="s">
        <v>205</v>
      </c>
      <c r="C156" s="59" t="s">
        <v>424</v>
      </c>
      <c r="D156" s="58" t="s">
        <v>44</v>
      </c>
      <c r="E156" s="60">
        <v>100</v>
      </c>
      <c r="F156" s="60">
        <v>0</v>
      </c>
      <c r="G156" s="60">
        <v>100</v>
      </c>
      <c r="H156" s="61">
        <f t="shared" si="2"/>
        <v>66.666666666666671</v>
      </c>
    </row>
    <row r="157" spans="1:8" ht="15" x14ac:dyDescent="0.25">
      <c r="A157" s="58">
        <v>3936</v>
      </c>
      <c r="B157" s="58" t="s">
        <v>206</v>
      </c>
      <c r="C157" s="59" t="s">
        <v>421</v>
      </c>
      <c r="D157" s="58" t="s">
        <v>86</v>
      </c>
      <c r="E157" s="60">
        <v>0</v>
      </c>
      <c r="F157" s="60">
        <v>0</v>
      </c>
      <c r="G157" s="60">
        <v>0</v>
      </c>
      <c r="H157" s="61">
        <f t="shared" si="2"/>
        <v>0</v>
      </c>
    </row>
    <row r="158" spans="1:8" ht="15" x14ac:dyDescent="0.25">
      <c r="A158" s="58">
        <v>3939</v>
      </c>
      <c r="B158" s="58" t="s">
        <v>207</v>
      </c>
      <c r="C158" s="59" t="s">
        <v>421</v>
      </c>
      <c r="D158" s="58" t="s">
        <v>86</v>
      </c>
      <c r="E158" s="60">
        <v>0</v>
      </c>
      <c r="F158" s="60">
        <v>0</v>
      </c>
      <c r="G158" s="60">
        <v>0</v>
      </c>
      <c r="H158" s="61">
        <f t="shared" si="2"/>
        <v>0</v>
      </c>
    </row>
    <row r="159" spans="1:8" ht="15" x14ac:dyDescent="0.25">
      <c r="A159" s="58">
        <v>3941</v>
      </c>
      <c r="B159" s="58" t="s">
        <v>208</v>
      </c>
      <c r="C159" s="59" t="s">
        <v>422</v>
      </c>
      <c r="D159" s="58" t="s">
        <v>54</v>
      </c>
      <c r="E159" s="60">
        <v>0</v>
      </c>
      <c r="F159" s="60">
        <v>0</v>
      </c>
      <c r="G159" s="60">
        <v>0</v>
      </c>
      <c r="H159" s="61">
        <f t="shared" si="2"/>
        <v>0</v>
      </c>
    </row>
    <row r="160" spans="1:8" ht="15" x14ac:dyDescent="0.25">
      <c r="A160" s="58">
        <v>3958</v>
      </c>
      <c r="B160" s="58" t="s">
        <v>209</v>
      </c>
      <c r="C160" s="59" t="s">
        <v>421</v>
      </c>
      <c r="D160" s="58" t="s">
        <v>86</v>
      </c>
      <c r="E160" s="60">
        <v>0</v>
      </c>
      <c r="F160" s="60">
        <v>0</v>
      </c>
      <c r="G160" s="60">
        <v>0</v>
      </c>
      <c r="H160" s="61">
        <f t="shared" si="2"/>
        <v>0</v>
      </c>
    </row>
    <row r="161" spans="1:8" ht="15" x14ac:dyDescent="0.25">
      <c r="A161" s="58">
        <v>3983</v>
      </c>
      <c r="B161" s="58" t="s">
        <v>210</v>
      </c>
      <c r="C161" s="59" t="s">
        <v>422</v>
      </c>
      <c r="D161" s="58" t="s">
        <v>54</v>
      </c>
      <c r="E161" s="60">
        <v>0</v>
      </c>
      <c r="F161" s="60">
        <v>0</v>
      </c>
      <c r="G161" s="60">
        <v>0</v>
      </c>
      <c r="H161" s="61">
        <f t="shared" si="2"/>
        <v>0</v>
      </c>
    </row>
    <row r="162" spans="1:8" ht="15" x14ac:dyDescent="0.25">
      <c r="A162" s="58">
        <v>3995</v>
      </c>
      <c r="B162" s="58" t="s">
        <v>211</v>
      </c>
      <c r="C162" s="59" t="s">
        <v>421</v>
      </c>
      <c r="D162" s="58" t="s">
        <v>86</v>
      </c>
      <c r="E162" s="60">
        <v>0</v>
      </c>
      <c r="F162" s="60">
        <v>0</v>
      </c>
      <c r="G162" s="60">
        <v>0</v>
      </c>
      <c r="H162" s="61">
        <f t="shared" si="2"/>
        <v>0</v>
      </c>
    </row>
    <row r="163" spans="1:8" ht="15" x14ac:dyDescent="0.25">
      <c r="A163" s="58">
        <v>4000</v>
      </c>
      <c r="B163" s="58" t="s">
        <v>212</v>
      </c>
      <c r="C163" s="59" t="s">
        <v>421</v>
      </c>
      <c r="D163" s="58" t="s">
        <v>10</v>
      </c>
      <c r="E163" s="60">
        <v>0</v>
      </c>
      <c r="F163" s="60">
        <v>0</v>
      </c>
      <c r="G163" s="60">
        <v>0</v>
      </c>
      <c r="H163" s="61">
        <f t="shared" si="2"/>
        <v>0</v>
      </c>
    </row>
    <row r="164" spans="1:8" ht="15" x14ac:dyDescent="0.25">
      <c r="A164" s="58">
        <v>4001</v>
      </c>
      <c r="B164" s="58" t="s">
        <v>213</v>
      </c>
      <c r="C164" s="59" t="s">
        <v>421</v>
      </c>
      <c r="D164" s="58" t="s">
        <v>86</v>
      </c>
      <c r="E164" s="60">
        <v>0</v>
      </c>
      <c r="F164" s="60">
        <v>0</v>
      </c>
      <c r="G164" s="60">
        <v>0</v>
      </c>
      <c r="H164" s="61">
        <f t="shared" si="2"/>
        <v>0</v>
      </c>
    </row>
    <row r="165" spans="1:8" ht="15" x14ac:dyDescent="0.25">
      <c r="A165" s="58">
        <v>4002</v>
      </c>
      <c r="B165" s="58" t="s">
        <v>214</v>
      </c>
      <c r="C165" s="59" t="s">
        <v>421</v>
      </c>
      <c r="D165" s="58" t="s">
        <v>10</v>
      </c>
      <c r="E165" s="60">
        <v>0</v>
      </c>
      <c r="F165" s="60">
        <v>0</v>
      </c>
      <c r="G165" s="60">
        <v>0</v>
      </c>
      <c r="H165" s="61">
        <f t="shared" si="2"/>
        <v>0</v>
      </c>
    </row>
    <row r="166" spans="1:8" ht="15" x14ac:dyDescent="0.25">
      <c r="A166" s="58">
        <v>4007</v>
      </c>
      <c r="B166" s="58" t="s">
        <v>215</v>
      </c>
      <c r="C166" s="59" t="s">
        <v>429</v>
      </c>
      <c r="D166" s="58" t="s">
        <v>46</v>
      </c>
      <c r="E166" s="60">
        <v>0</v>
      </c>
      <c r="F166" s="60">
        <v>100</v>
      </c>
      <c r="G166" s="60">
        <v>0</v>
      </c>
      <c r="H166" s="61">
        <f t="shared" si="2"/>
        <v>33.333333333333336</v>
      </c>
    </row>
    <row r="167" spans="1:8" ht="15" x14ac:dyDescent="0.25">
      <c r="A167" s="58">
        <v>4018</v>
      </c>
      <c r="B167" s="58" t="s">
        <v>216</v>
      </c>
      <c r="C167" s="59" t="s">
        <v>422</v>
      </c>
      <c r="D167" s="58" t="s">
        <v>54</v>
      </c>
      <c r="E167" s="60">
        <v>0</v>
      </c>
      <c r="F167" s="60">
        <v>0</v>
      </c>
      <c r="G167" s="60">
        <v>0</v>
      </c>
      <c r="H167" s="61">
        <f t="shared" si="2"/>
        <v>0</v>
      </c>
    </row>
    <row r="168" spans="1:8" ht="15" x14ac:dyDescent="0.25">
      <c r="A168" s="58">
        <v>4019</v>
      </c>
      <c r="B168" s="58" t="s">
        <v>217</v>
      </c>
      <c r="C168" s="59" t="s">
        <v>496</v>
      </c>
      <c r="D168" s="58" t="s">
        <v>95</v>
      </c>
      <c r="E168" s="60">
        <v>0</v>
      </c>
      <c r="F168" s="60">
        <v>0</v>
      </c>
      <c r="G168" s="60">
        <v>0</v>
      </c>
      <c r="H168" s="61">
        <f t="shared" si="2"/>
        <v>0</v>
      </c>
    </row>
    <row r="169" spans="1:8" ht="15" x14ac:dyDescent="0.25">
      <c r="A169" s="58">
        <v>4020</v>
      </c>
      <c r="B169" s="58" t="s">
        <v>218</v>
      </c>
      <c r="C169" s="59" t="s">
        <v>432</v>
      </c>
      <c r="D169" s="58" t="s">
        <v>219</v>
      </c>
      <c r="E169" s="60">
        <v>100</v>
      </c>
      <c r="F169" s="60">
        <v>100</v>
      </c>
      <c r="G169" s="60">
        <v>0</v>
      </c>
      <c r="H169" s="61">
        <f t="shared" si="2"/>
        <v>66.666666666666671</v>
      </c>
    </row>
    <row r="170" spans="1:8" ht="15" x14ac:dyDescent="0.25">
      <c r="A170" s="58">
        <v>4021</v>
      </c>
      <c r="B170" s="58" t="s">
        <v>220</v>
      </c>
      <c r="C170" s="59" t="s">
        <v>421</v>
      </c>
      <c r="D170" s="58" t="s">
        <v>10</v>
      </c>
      <c r="E170" s="60">
        <v>0</v>
      </c>
      <c r="F170" s="60">
        <v>0</v>
      </c>
      <c r="G170" s="60">
        <v>0</v>
      </c>
      <c r="H170" s="61">
        <f t="shared" si="2"/>
        <v>0</v>
      </c>
    </row>
    <row r="171" spans="1:8" ht="15" x14ac:dyDescent="0.25">
      <c r="A171" s="58">
        <v>4023</v>
      </c>
      <c r="B171" s="58" t="s">
        <v>221</v>
      </c>
      <c r="C171" s="59" t="s">
        <v>429</v>
      </c>
      <c r="D171" s="58" t="s">
        <v>46</v>
      </c>
      <c r="E171" s="60">
        <v>0</v>
      </c>
      <c r="F171" s="60">
        <v>0</v>
      </c>
      <c r="G171" s="60">
        <v>0</v>
      </c>
      <c r="H171" s="61">
        <f t="shared" si="2"/>
        <v>0</v>
      </c>
    </row>
    <row r="172" spans="1:8" ht="15" x14ac:dyDescent="0.25">
      <c r="A172" s="58">
        <v>4036</v>
      </c>
      <c r="B172" s="58" t="s">
        <v>222</v>
      </c>
      <c r="C172" s="59" t="s">
        <v>429</v>
      </c>
      <c r="D172" s="58" t="s">
        <v>46</v>
      </c>
      <c r="E172" s="60">
        <v>0</v>
      </c>
      <c r="F172" s="60">
        <v>0</v>
      </c>
      <c r="G172" s="60">
        <v>0</v>
      </c>
      <c r="H172" s="61">
        <f t="shared" si="2"/>
        <v>0</v>
      </c>
    </row>
    <row r="173" spans="1:8" ht="15" x14ac:dyDescent="0.25">
      <c r="A173" s="58">
        <v>4037</v>
      </c>
      <c r="B173" s="58" t="s">
        <v>223</v>
      </c>
      <c r="C173" s="59" t="s">
        <v>421</v>
      </c>
      <c r="D173" s="58" t="s">
        <v>86</v>
      </c>
      <c r="E173" s="60">
        <v>0</v>
      </c>
      <c r="F173" s="60">
        <v>0</v>
      </c>
      <c r="G173" s="60">
        <v>0</v>
      </c>
      <c r="H173" s="61">
        <f t="shared" si="2"/>
        <v>0</v>
      </c>
    </row>
    <row r="174" spans="1:8" ht="15" x14ac:dyDescent="0.25">
      <c r="A174" s="58">
        <v>4043</v>
      </c>
      <c r="B174" s="58" t="s">
        <v>224</v>
      </c>
      <c r="C174" s="59" t="s">
        <v>500</v>
      </c>
      <c r="D174" s="58" t="s">
        <v>104</v>
      </c>
      <c r="E174" s="60">
        <v>0</v>
      </c>
      <c r="F174" s="60">
        <v>100</v>
      </c>
      <c r="G174" s="60">
        <v>0</v>
      </c>
      <c r="H174" s="61">
        <f t="shared" si="2"/>
        <v>33.333333333333336</v>
      </c>
    </row>
    <row r="175" spans="1:8" ht="15" x14ac:dyDescent="0.25">
      <c r="A175" s="58">
        <v>4056</v>
      </c>
      <c r="B175" s="58" t="s">
        <v>225</v>
      </c>
      <c r="C175" s="59" t="s">
        <v>421</v>
      </c>
      <c r="D175" s="58" t="s">
        <v>86</v>
      </c>
      <c r="E175" s="60">
        <v>0</v>
      </c>
      <c r="F175" s="60">
        <v>0</v>
      </c>
      <c r="G175" s="60">
        <v>0</v>
      </c>
      <c r="H175" s="61">
        <f t="shared" si="2"/>
        <v>0</v>
      </c>
    </row>
    <row r="176" spans="1:8" ht="15" x14ac:dyDescent="0.25">
      <c r="A176" s="58">
        <v>4059</v>
      </c>
      <c r="B176" s="58" t="s">
        <v>226</v>
      </c>
      <c r="C176" s="59" t="s">
        <v>500</v>
      </c>
      <c r="D176" s="58" t="s">
        <v>69</v>
      </c>
      <c r="E176" s="60">
        <v>100</v>
      </c>
      <c r="F176" s="60">
        <v>100</v>
      </c>
      <c r="G176" s="60">
        <v>0</v>
      </c>
      <c r="H176" s="61">
        <f t="shared" si="2"/>
        <v>66.666666666666671</v>
      </c>
    </row>
    <row r="177" spans="1:8" ht="15" x14ac:dyDescent="0.25">
      <c r="A177" s="58">
        <v>4076</v>
      </c>
      <c r="B177" s="58" t="s">
        <v>227</v>
      </c>
      <c r="C177" s="59" t="s">
        <v>421</v>
      </c>
      <c r="D177" s="58" t="s">
        <v>86</v>
      </c>
      <c r="E177" s="60">
        <v>0</v>
      </c>
      <c r="F177" s="60">
        <v>0</v>
      </c>
      <c r="G177" s="60">
        <v>0</v>
      </c>
      <c r="H177" s="61">
        <f t="shared" si="2"/>
        <v>0</v>
      </c>
    </row>
    <row r="178" spans="1:8" ht="15" x14ac:dyDescent="0.25">
      <c r="A178" s="58">
        <v>4078</v>
      </c>
      <c r="B178" s="58" t="s">
        <v>228</v>
      </c>
      <c r="C178" s="59" t="s">
        <v>500</v>
      </c>
      <c r="D178" s="58" t="s">
        <v>158</v>
      </c>
      <c r="E178" s="60">
        <v>0</v>
      </c>
      <c r="F178" s="60">
        <v>100</v>
      </c>
      <c r="G178" s="60">
        <v>0</v>
      </c>
      <c r="H178" s="61">
        <f t="shared" si="2"/>
        <v>33.333333333333336</v>
      </c>
    </row>
    <row r="179" spans="1:8" ht="15" x14ac:dyDescent="0.25">
      <c r="A179" s="58">
        <v>4082</v>
      </c>
      <c r="B179" s="58" t="s">
        <v>229</v>
      </c>
      <c r="C179" s="59" t="s">
        <v>421</v>
      </c>
      <c r="D179" s="58" t="s">
        <v>86</v>
      </c>
      <c r="E179" s="60">
        <v>0</v>
      </c>
      <c r="F179" s="60">
        <v>0</v>
      </c>
      <c r="G179" s="60">
        <v>0</v>
      </c>
      <c r="H179" s="61">
        <f t="shared" si="2"/>
        <v>0</v>
      </c>
    </row>
    <row r="180" spans="1:8" ht="15" x14ac:dyDescent="0.25">
      <c r="A180" s="58">
        <v>4092</v>
      </c>
      <c r="B180" s="58" t="s">
        <v>230</v>
      </c>
      <c r="C180" s="59" t="s">
        <v>421</v>
      </c>
      <c r="D180" s="58" t="s">
        <v>86</v>
      </c>
      <c r="E180" s="60">
        <v>0</v>
      </c>
      <c r="F180" s="60">
        <v>0</v>
      </c>
      <c r="G180" s="60">
        <v>0</v>
      </c>
      <c r="H180" s="61">
        <f t="shared" si="2"/>
        <v>0</v>
      </c>
    </row>
    <row r="181" spans="1:8" ht="15" x14ac:dyDescent="0.25">
      <c r="A181" s="58">
        <v>4102</v>
      </c>
      <c r="B181" s="58" t="s">
        <v>231</v>
      </c>
      <c r="C181" s="59" t="s">
        <v>495</v>
      </c>
      <c r="D181" s="58" t="s">
        <v>24</v>
      </c>
      <c r="E181" s="60">
        <v>0</v>
      </c>
      <c r="F181" s="60">
        <v>0</v>
      </c>
      <c r="G181" s="60">
        <v>0</v>
      </c>
      <c r="H181" s="61">
        <f t="shared" si="2"/>
        <v>0</v>
      </c>
    </row>
    <row r="182" spans="1:8" ht="15" x14ac:dyDescent="0.25">
      <c r="A182" s="58">
        <v>4111</v>
      </c>
      <c r="B182" s="58" t="s">
        <v>232</v>
      </c>
      <c r="C182" s="59" t="s">
        <v>421</v>
      </c>
      <c r="D182" s="58" t="s">
        <v>86</v>
      </c>
      <c r="E182" s="60">
        <v>0</v>
      </c>
      <c r="F182" s="60">
        <v>0</v>
      </c>
      <c r="G182" s="60">
        <v>0</v>
      </c>
      <c r="H182" s="61">
        <f t="shared" si="2"/>
        <v>0</v>
      </c>
    </row>
    <row r="183" spans="1:8" ht="15" x14ac:dyDescent="0.25">
      <c r="A183" s="58">
        <v>4121</v>
      </c>
      <c r="B183" s="58" t="s">
        <v>234</v>
      </c>
      <c r="C183" s="59" t="s">
        <v>496</v>
      </c>
      <c r="D183" s="58" t="s">
        <v>95</v>
      </c>
      <c r="E183" s="60">
        <v>0</v>
      </c>
      <c r="F183" s="60">
        <v>0</v>
      </c>
      <c r="G183" s="60">
        <v>0</v>
      </c>
      <c r="H183" s="61">
        <f t="shared" si="2"/>
        <v>0</v>
      </c>
    </row>
    <row r="184" spans="1:8" ht="15" x14ac:dyDescent="0.25">
      <c r="A184" s="58">
        <v>4122</v>
      </c>
      <c r="B184" s="58" t="s">
        <v>235</v>
      </c>
      <c r="C184" s="59" t="s">
        <v>421</v>
      </c>
      <c r="D184" s="58" t="s">
        <v>86</v>
      </c>
      <c r="E184" s="60">
        <v>0</v>
      </c>
      <c r="F184" s="60">
        <v>100</v>
      </c>
      <c r="G184" s="60">
        <v>0</v>
      </c>
      <c r="H184" s="61">
        <f t="shared" si="2"/>
        <v>33.333333333333336</v>
      </c>
    </row>
    <row r="185" spans="1:8" ht="15" x14ac:dyDescent="0.25">
      <c r="A185" s="58">
        <v>4128</v>
      </c>
      <c r="B185" s="58" t="s">
        <v>236</v>
      </c>
      <c r="C185" s="59" t="s">
        <v>421</v>
      </c>
      <c r="D185" s="58" t="s">
        <v>86</v>
      </c>
      <c r="E185" s="60">
        <v>0</v>
      </c>
      <c r="F185" s="60">
        <v>0</v>
      </c>
      <c r="G185" s="60">
        <v>0</v>
      </c>
      <c r="H185" s="61">
        <f t="shared" si="2"/>
        <v>0</v>
      </c>
    </row>
    <row r="186" spans="1:8" ht="15" x14ac:dyDescent="0.25">
      <c r="A186" s="58">
        <v>4139</v>
      </c>
      <c r="B186" s="58" t="s">
        <v>237</v>
      </c>
      <c r="C186" s="59" t="s">
        <v>496</v>
      </c>
      <c r="D186" s="58" t="s">
        <v>102</v>
      </c>
      <c r="E186" s="60">
        <v>0</v>
      </c>
      <c r="F186" s="60">
        <v>0</v>
      </c>
      <c r="G186" s="60">
        <v>0</v>
      </c>
      <c r="H186" s="61">
        <f t="shared" si="2"/>
        <v>0</v>
      </c>
    </row>
    <row r="187" spans="1:8" ht="15" x14ac:dyDescent="0.25">
      <c r="A187" s="58">
        <v>4165</v>
      </c>
      <c r="B187" s="58" t="s">
        <v>238</v>
      </c>
      <c r="C187" s="59" t="s">
        <v>421</v>
      </c>
      <c r="D187" s="58" t="s">
        <v>52</v>
      </c>
      <c r="E187" s="60">
        <v>0</v>
      </c>
      <c r="F187" s="60">
        <v>0</v>
      </c>
      <c r="G187" s="60">
        <v>0</v>
      </c>
      <c r="H187" s="61">
        <f t="shared" si="2"/>
        <v>0</v>
      </c>
    </row>
    <row r="188" spans="1:8" ht="15" x14ac:dyDescent="0.25">
      <c r="A188" s="58">
        <v>4183</v>
      </c>
      <c r="B188" s="58" t="s">
        <v>240</v>
      </c>
      <c r="C188" s="59" t="s">
        <v>422</v>
      </c>
      <c r="D188" s="58" t="s">
        <v>54</v>
      </c>
      <c r="E188" s="60">
        <v>0</v>
      </c>
      <c r="F188" s="60">
        <v>0</v>
      </c>
      <c r="G188" s="60">
        <v>0</v>
      </c>
      <c r="H188" s="61">
        <f t="shared" si="2"/>
        <v>0</v>
      </c>
    </row>
    <row r="189" spans="1:8" ht="15" x14ac:dyDescent="0.25">
      <c r="A189" s="58">
        <v>4188</v>
      </c>
      <c r="B189" s="58" t="s">
        <v>241</v>
      </c>
      <c r="C189" s="59" t="s">
        <v>421</v>
      </c>
      <c r="D189" s="58" t="s">
        <v>10</v>
      </c>
      <c r="E189" s="60">
        <v>0</v>
      </c>
      <c r="F189" s="60">
        <v>0</v>
      </c>
      <c r="G189" s="60">
        <v>0</v>
      </c>
      <c r="H189" s="61">
        <f t="shared" si="2"/>
        <v>0</v>
      </c>
    </row>
    <row r="190" spans="1:8" ht="15" x14ac:dyDescent="0.25">
      <c r="A190" s="58">
        <v>4199</v>
      </c>
      <c r="B190" s="58" t="s">
        <v>242</v>
      </c>
      <c r="C190" s="59" t="s">
        <v>429</v>
      </c>
      <c r="D190" s="58" t="s">
        <v>46</v>
      </c>
      <c r="E190" s="60">
        <v>0</v>
      </c>
      <c r="F190" s="60">
        <v>0</v>
      </c>
      <c r="G190" s="60">
        <v>0</v>
      </c>
      <c r="H190" s="61">
        <f t="shared" si="2"/>
        <v>0</v>
      </c>
    </row>
    <row r="191" spans="1:8" ht="15" x14ac:dyDescent="0.25">
      <c r="A191" s="58">
        <v>4212</v>
      </c>
      <c r="B191" s="58" t="s">
        <v>243</v>
      </c>
      <c r="C191" s="59" t="s">
        <v>421</v>
      </c>
      <c r="D191" s="58" t="s">
        <v>86</v>
      </c>
      <c r="E191" s="60">
        <v>0</v>
      </c>
      <c r="F191" s="60">
        <v>0</v>
      </c>
      <c r="G191" s="60">
        <v>0</v>
      </c>
      <c r="H191" s="61">
        <f t="shared" si="2"/>
        <v>0</v>
      </c>
    </row>
    <row r="192" spans="1:8" ht="15" x14ac:dyDescent="0.25">
      <c r="A192" s="58">
        <v>4218</v>
      </c>
      <c r="B192" s="58" t="s">
        <v>244</v>
      </c>
      <c r="C192" s="59" t="s">
        <v>421</v>
      </c>
      <c r="D192" s="58" t="s">
        <v>86</v>
      </c>
      <c r="E192" s="60">
        <v>0</v>
      </c>
      <c r="F192" s="60">
        <v>0</v>
      </c>
      <c r="G192" s="60">
        <v>0</v>
      </c>
      <c r="H192" s="61">
        <f t="shared" si="2"/>
        <v>0</v>
      </c>
    </row>
    <row r="193" spans="1:8" ht="15" x14ac:dyDescent="0.25">
      <c r="A193" s="58">
        <v>4232</v>
      </c>
      <c r="B193" s="58" t="s">
        <v>245</v>
      </c>
      <c r="C193" s="59" t="s">
        <v>421</v>
      </c>
      <c r="D193" s="58" t="s">
        <v>86</v>
      </c>
      <c r="E193" s="60">
        <v>0</v>
      </c>
      <c r="F193" s="60">
        <v>0</v>
      </c>
      <c r="G193" s="60">
        <v>0</v>
      </c>
      <c r="H193" s="61">
        <f t="shared" si="2"/>
        <v>0</v>
      </c>
    </row>
    <row r="194" spans="1:8" ht="15" x14ac:dyDescent="0.25">
      <c r="A194" s="58">
        <v>4236</v>
      </c>
      <c r="B194" s="58" t="s">
        <v>246</v>
      </c>
      <c r="C194" s="59" t="s">
        <v>421</v>
      </c>
      <c r="D194" s="58" t="s">
        <v>10</v>
      </c>
      <c r="E194" s="60">
        <v>0</v>
      </c>
      <c r="F194" s="60">
        <v>0</v>
      </c>
      <c r="G194" s="60">
        <v>0</v>
      </c>
      <c r="H194" s="61">
        <f t="shared" si="2"/>
        <v>0</v>
      </c>
    </row>
    <row r="195" spans="1:8" ht="15" x14ac:dyDescent="0.25">
      <c r="A195" s="58">
        <v>4246</v>
      </c>
      <c r="B195" s="58" t="s">
        <v>247</v>
      </c>
      <c r="C195" s="59" t="s">
        <v>421</v>
      </c>
      <c r="D195" s="58" t="s">
        <v>10</v>
      </c>
      <c r="E195" s="60">
        <v>0</v>
      </c>
      <c r="F195" s="60">
        <v>0</v>
      </c>
      <c r="G195" s="60">
        <v>0</v>
      </c>
      <c r="H195" s="61">
        <f t="shared" ref="H195:H258" si="3">AVERAGE(E195:G195)</f>
        <v>0</v>
      </c>
    </row>
    <row r="196" spans="1:8" ht="15" x14ac:dyDescent="0.25">
      <c r="A196" s="58">
        <v>4262</v>
      </c>
      <c r="B196" s="58" t="s">
        <v>248</v>
      </c>
      <c r="C196" s="59" t="s">
        <v>495</v>
      </c>
      <c r="D196" s="58" t="s">
        <v>24</v>
      </c>
      <c r="E196" s="60">
        <v>0</v>
      </c>
      <c r="F196" s="60">
        <v>0</v>
      </c>
      <c r="G196" s="60">
        <v>0</v>
      </c>
      <c r="H196" s="61">
        <f t="shared" si="3"/>
        <v>0</v>
      </c>
    </row>
    <row r="197" spans="1:8" ht="15" x14ac:dyDescent="0.25">
      <c r="A197" s="58">
        <v>4263</v>
      </c>
      <c r="B197" s="58" t="s">
        <v>249</v>
      </c>
      <c r="C197" s="59" t="s">
        <v>421</v>
      </c>
      <c r="D197" s="58" t="s">
        <v>86</v>
      </c>
      <c r="E197" s="60">
        <v>0</v>
      </c>
      <c r="F197" s="60">
        <v>0</v>
      </c>
      <c r="G197" s="60">
        <v>0</v>
      </c>
      <c r="H197" s="61">
        <f t="shared" si="3"/>
        <v>0</v>
      </c>
    </row>
    <row r="198" spans="1:8" ht="15" x14ac:dyDescent="0.25">
      <c r="A198" s="58">
        <v>4264</v>
      </c>
      <c r="B198" s="58" t="s">
        <v>250</v>
      </c>
      <c r="C198" s="59" t="s">
        <v>500</v>
      </c>
      <c r="D198" s="58" t="s">
        <v>52</v>
      </c>
      <c r="E198" s="60">
        <v>0</v>
      </c>
      <c r="F198" s="60">
        <v>0</v>
      </c>
      <c r="G198" s="60">
        <v>0</v>
      </c>
      <c r="H198" s="61">
        <f t="shared" si="3"/>
        <v>0</v>
      </c>
    </row>
    <row r="199" spans="1:8" ht="15" x14ac:dyDescent="0.25">
      <c r="A199" s="58">
        <v>4284</v>
      </c>
      <c r="B199" s="58" t="s">
        <v>251</v>
      </c>
      <c r="C199" s="59" t="s">
        <v>429</v>
      </c>
      <c r="D199" s="58" t="s">
        <v>46</v>
      </c>
      <c r="E199" s="60">
        <v>0</v>
      </c>
      <c r="F199" s="60">
        <v>0</v>
      </c>
      <c r="G199" s="60">
        <v>0</v>
      </c>
      <c r="H199" s="61">
        <f t="shared" si="3"/>
        <v>0</v>
      </c>
    </row>
    <row r="200" spans="1:8" ht="15" x14ac:dyDescent="0.25">
      <c r="A200" s="58">
        <v>4285</v>
      </c>
      <c r="B200" s="58" t="s">
        <v>252</v>
      </c>
      <c r="C200" s="59" t="s">
        <v>500</v>
      </c>
      <c r="D200" s="58" t="s">
        <v>158</v>
      </c>
      <c r="E200" s="60">
        <v>0</v>
      </c>
      <c r="F200" s="60">
        <v>100</v>
      </c>
      <c r="G200" s="60">
        <v>0</v>
      </c>
      <c r="H200" s="61">
        <f t="shared" si="3"/>
        <v>33.333333333333336</v>
      </c>
    </row>
    <row r="201" spans="1:8" ht="15" x14ac:dyDescent="0.25">
      <c r="A201" s="58">
        <v>4286</v>
      </c>
      <c r="B201" s="58" t="s">
        <v>501</v>
      </c>
      <c r="C201" s="59" t="s">
        <v>421</v>
      </c>
      <c r="D201" s="58" t="s">
        <v>10</v>
      </c>
      <c r="E201" s="60">
        <v>0</v>
      </c>
      <c r="F201" s="60">
        <v>0</v>
      </c>
      <c r="G201" s="60">
        <v>0</v>
      </c>
      <c r="H201" s="61">
        <f t="shared" si="3"/>
        <v>0</v>
      </c>
    </row>
    <row r="202" spans="1:8" ht="15" x14ac:dyDescent="0.25">
      <c r="A202" s="58">
        <v>4295</v>
      </c>
      <c r="B202" s="58" t="s">
        <v>253</v>
      </c>
      <c r="C202" s="59" t="s">
        <v>421</v>
      </c>
      <c r="D202" s="58" t="s">
        <v>10</v>
      </c>
      <c r="E202" s="60">
        <v>0</v>
      </c>
      <c r="F202" s="60">
        <v>0</v>
      </c>
      <c r="G202" s="60">
        <v>0</v>
      </c>
      <c r="H202" s="61">
        <f t="shared" si="3"/>
        <v>0</v>
      </c>
    </row>
    <row r="203" spans="1:8" ht="15" x14ac:dyDescent="0.25">
      <c r="A203" s="58">
        <v>4298</v>
      </c>
      <c r="B203" s="58" t="s">
        <v>254</v>
      </c>
      <c r="C203" s="59" t="s">
        <v>500</v>
      </c>
      <c r="D203" s="58" t="s">
        <v>104</v>
      </c>
      <c r="E203" s="60">
        <v>0</v>
      </c>
      <c r="F203" s="60">
        <v>0</v>
      </c>
      <c r="G203" s="60">
        <v>0</v>
      </c>
      <c r="H203" s="61">
        <f t="shared" si="3"/>
        <v>0</v>
      </c>
    </row>
    <row r="204" spans="1:8" ht="15" x14ac:dyDescent="0.25">
      <c r="A204" s="58">
        <v>4302</v>
      </c>
      <c r="B204" s="58" t="s">
        <v>255</v>
      </c>
      <c r="C204" s="59" t="s">
        <v>500</v>
      </c>
      <c r="D204" s="58" t="s">
        <v>158</v>
      </c>
      <c r="E204" s="60">
        <v>0</v>
      </c>
      <c r="F204" s="60">
        <v>0</v>
      </c>
      <c r="G204" s="60">
        <v>0</v>
      </c>
      <c r="H204" s="61">
        <f t="shared" si="3"/>
        <v>0</v>
      </c>
    </row>
    <row r="205" spans="1:8" ht="15" x14ac:dyDescent="0.25">
      <c r="A205" s="58">
        <v>4308</v>
      </c>
      <c r="B205" s="58" t="s">
        <v>256</v>
      </c>
      <c r="C205" s="59" t="s">
        <v>421</v>
      </c>
      <c r="D205" s="58" t="s">
        <v>61</v>
      </c>
      <c r="E205" s="60">
        <v>0</v>
      </c>
      <c r="F205" s="60">
        <v>0</v>
      </c>
      <c r="G205" s="60">
        <v>0</v>
      </c>
      <c r="H205" s="61">
        <f t="shared" si="3"/>
        <v>0</v>
      </c>
    </row>
    <row r="206" spans="1:8" ht="15" x14ac:dyDescent="0.25">
      <c r="A206" s="58">
        <v>4312</v>
      </c>
      <c r="B206" s="58" t="s">
        <v>257</v>
      </c>
      <c r="C206" s="59" t="s">
        <v>421</v>
      </c>
      <c r="D206" s="58" t="s">
        <v>86</v>
      </c>
      <c r="E206" s="60">
        <v>0</v>
      </c>
      <c r="F206" s="60">
        <v>0</v>
      </c>
      <c r="G206" s="60">
        <v>0</v>
      </c>
      <c r="H206" s="61">
        <f t="shared" si="3"/>
        <v>0</v>
      </c>
    </row>
    <row r="207" spans="1:8" ht="15" x14ac:dyDescent="0.25">
      <c r="A207" s="58">
        <v>4320</v>
      </c>
      <c r="B207" s="58" t="s">
        <v>258</v>
      </c>
      <c r="C207" s="59" t="s">
        <v>429</v>
      </c>
      <c r="D207" s="58" t="s">
        <v>46</v>
      </c>
      <c r="E207" s="60">
        <v>0</v>
      </c>
      <c r="F207" s="60">
        <v>0</v>
      </c>
      <c r="G207" s="60">
        <v>0</v>
      </c>
      <c r="H207" s="61">
        <f t="shared" si="3"/>
        <v>0</v>
      </c>
    </row>
    <row r="208" spans="1:8" ht="15" x14ac:dyDescent="0.25">
      <c r="A208" s="58">
        <v>4321</v>
      </c>
      <c r="B208" s="58" t="s">
        <v>259</v>
      </c>
      <c r="C208" s="59" t="s">
        <v>432</v>
      </c>
      <c r="D208" s="58" t="s">
        <v>219</v>
      </c>
      <c r="E208" s="60">
        <v>100</v>
      </c>
      <c r="F208" s="60">
        <v>100</v>
      </c>
      <c r="G208" s="60">
        <v>0</v>
      </c>
      <c r="H208" s="61">
        <f t="shared" si="3"/>
        <v>66.666666666666671</v>
      </c>
    </row>
    <row r="209" spans="1:8" ht="15" x14ac:dyDescent="0.25">
      <c r="A209" s="58">
        <v>4330</v>
      </c>
      <c r="B209" s="58" t="s">
        <v>260</v>
      </c>
      <c r="C209" s="59" t="s">
        <v>429</v>
      </c>
      <c r="D209" s="58" t="s">
        <v>46</v>
      </c>
      <c r="E209" s="60">
        <v>0</v>
      </c>
      <c r="F209" s="60">
        <v>0</v>
      </c>
      <c r="G209" s="60">
        <v>0</v>
      </c>
      <c r="H209" s="61">
        <f t="shared" si="3"/>
        <v>0</v>
      </c>
    </row>
    <row r="210" spans="1:8" ht="15" x14ac:dyDescent="0.25">
      <c r="A210" s="58">
        <v>4337</v>
      </c>
      <c r="B210" s="58" t="s">
        <v>261</v>
      </c>
      <c r="C210" s="59" t="s">
        <v>421</v>
      </c>
      <c r="D210" s="58" t="s">
        <v>86</v>
      </c>
      <c r="E210" s="60">
        <v>0</v>
      </c>
      <c r="F210" s="60">
        <v>0</v>
      </c>
      <c r="G210" s="60">
        <v>0</v>
      </c>
      <c r="H210" s="61">
        <f t="shared" si="3"/>
        <v>0</v>
      </c>
    </row>
    <row r="211" spans="1:8" ht="15" x14ac:dyDescent="0.25">
      <c r="A211" s="58">
        <v>4350</v>
      </c>
      <c r="B211" s="58" t="s">
        <v>262</v>
      </c>
      <c r="C211" s="59" t="s">
        <v>429</v>
      </c>
      <c r="D211" s="58" t="s">
        <v>46</v>
      </c>
      <c r="E211" s="60">
        <v>0</v>
      </c>
      <c r="F211" s="60">
        <v>0</v>
      </c>
      <c r="G211" s="60">
        <v>0</v>
      </c>
      <c r="H211" s="61">
        <f t="shared" si="3"/>
        <v>0</v>
      </c>
    </row>
    <row r="212" spans="1:8" ht="15" x14ac:dyDescent="0.25">
      <c r="A212" s="58">
        <v>4353</v>
      </c>
      <c r="B212" s="58" t="s">
        <v>263</v>
      </c>
      <c r="C212" s="59" t="s">
        <v>421</v>
      </c>
      <c r="D212" s="58" t="s">
        <v>61</v>
      </c>
      <c r="E212" s="60">
        <v>0</v>
      </c>
      <c r="F212" s="60">
        <v>0</v>
      </c>
      <c r="G212" s="60">
        <v>0</v>
      </c>
      <c r="H212" s="61">
        <f t="shared" si="3"/>
        <v>0</v>
      </c>
    </row>
    <row r="213" spans="1:8" ht="15" x14ac:dyDescent="0.25">
      <c r="A213" s="58">
        <v>4364</v>
      </c>
      <c r="B213" s="58" t="s">
        <v>264</v>
      </c>
      <c r="C213" s="59" t="s">
        <v>421</v>
      </c>
      <c r="D213" s="58" t="s">
        <v>10</v>
      </c>
      <c r="E213" s="60">
        <v>0</v>
      </c>
      <c r="F213" s="60">
        <v>0</v>
      </c>
      <c r="G213" s="60">
        <v>100</v>
      </c>
      <c r="H213" s="61">
        <f t="shared" si="3"/>
        <v>33.333333333333336</v>
      </c>
    </row>
    <row r="214" spans="1:8" ht="15" x14ac:dyDescent="0.25">
      <c r="A214" s="58">
        <v>4372</v>
      </c>
      <c r="B214" s="58" t="s">
        <v>265</v>
      </c>
      <c r="C214" s="59" t="s">
        <v>422</v>
      </c>
      <c r="D214" s="58" t="s">
        <v>54</v>
      </c>
      <c r="E214" s="60">
        <v>0</v>
      </c>
      <c r="F214" s="60">
        <v>0</v>
      </c>
      <c r="G214" s="60">
        <v>0</v>
      </c>
      <c r="H214" s="61">
        <f t="shared" si="3"/>
        <v>0</v>
      </c>
    </row>
    <row r="215" spans="1:8" ht="15" x14ac:dyDescent="0.25">
      <c r="A215" s="58">
        <v>4373</v>
      </c>
      <c r="B215" s="58" t="s">
        <v>266</v>
      </c>
      <c r="C215" s="59" t="s">
        <v>429</v>
      </c>
      <c r="D215" s="58" t="s">
        <v>46</v>
      </c>
      <c r="E215" s="60">
        <v>0</v>
      </c>
      <c r="F215" s="60">
        <v>0</v>
      </c>
      <c r="G215" s="60">
        <v>0</v>
      </c>
      <c r="H215" s="61">
        <f t="shared" si="3"/>
        <v>0</v>
      </c>
    </row>
    <row r="216" spans="1:8" ht="15" x14ac:dyDescent="0.25">
      <c r="A216" s="58">
        <v>4380</v>
      </c>
      <c r="B216" s="58" t="s">
        <v>443</v>
      </c>
      <c r="C216" s="59" t="s">
        <v>500</v>
      </c>
      <c r="D216" s="58" t="s">
        <v>104</v>
      </c>
      <c r="E216" s="60">
        <v>0</v>
      </c>
      <c r="F216" s="60">
        <v>0</v>
      </c>
      <c r="G216" s="60">
        <v>0</v>
      </c>
      <c r="H216" s="61">
        <f t="shared" si="3"/>
        <v>0</v>
      </c>
    </row>
    <row r="217" spans="1:8" ht="15" x14ac:dyDescent="0.25">
      <c r="A217" s="58">
        <v>4401</v>
      </c>
      <c r="B217" s="58" t="s">
        <v>267</v>
      </c>
      <c r="C217" s="59" t="s">
        <v>424</v>
      </c>
      <c r="D217" s="58" t="s">
        <v>143</v>
      </c>
      <c r="E217" s="60">
        <v>100</v>
      </c>
      <c r="F217" s="60">
        <v>0</v>
      </c>
      <c r="G217" s="60">
        <v>0</v>
      </c>
      <c r="H217" s="61">
        <f t="shared" si="3"/>
        <v>33.333333333333336</v>
      </c>
    </row>
    <row r="218" spans="1:8" ht="15" x14ac:dyDescent="0.25">
      <c r="A218" s="58">
        <v>4402</v>
      </c>
      <c r="B218" s="58" t="s">
        <v>268</v>
      </c>
      <c r="C218" s="59" t="s">
        <v>500</v>
      </c>
      <c r="D218" s="58" t="s">
        <v>269</v>
      </c>
      <c r="E218" s="60">
        <v>0</v>
      </c>
      <c r="F218" s="60">
        <v>100</v>
      </c>
      <c r="G218" s="60">
        <v>0</v>
      </c>
      <c r="H218" s="61">
        <f t="shared" si="3"/>
        <v>33.333333333333336</v>
      </c>
    </row>
    <row r="219" spans="1:8" ht="15" x14ac:dyDescent="0.25">
      <c r="A219" s="58">
        <v>4414</v>
      </c>
      <c r="B219" s="58" t="s">
        <v>270</v>
      </c>
      <c r="C219" s="59" t="s">
        <v>422</v>
      </c>
      <c r="D219" s="58" t="s">
        <v>54</v>
      </c>
      <c r="E219" s="60">
        <v>0</v>
      </c>
      <c r="F219" s="60">
        <v>0</v>
      </c>
      <c r="G219" s="60">
        <v>0</v>
      </c>
      <c r="H219" s="61">
        <f t="shared" si="3"/>
        <v>0</v>
      </c>
    </row>
    <row r="220" spans="1:8" ht="15" x14ac:dyDescent="0.25">
      <c r="A220" s="58">
        <v>4416</v>
      </c>
      <c r="B220" s="58" t="s">
        <v>271</v>
      </c>
      <c r="C220" s="59" t="s">
        <v>421</v>
      </c>
      <c r="D220" s="58" t="s">
        <v>10</v>
      </c>
      <c r="E220" s="60">
        <v>0</v>
      </c>
      <c r="F220" s="60">
        <v>0</v>
      </c>
      <c r="G220" s="60">
        <v>0</v>
      </c>
      <c r="H220" s="61">
        <f t="shared" si="3"/>
        <v>0</v>
      </c>
    </row>
    <row r="221" spans="1:8" ht="15" x14ac:dyDescent="0.25">
      <c r="A221" s="58">
        <v>4424</v>
      </c>
      <c r="B221" s="58" t="s">
        <v>272</v>
      </c>
      <c r="C221" s="59" t="s">
        <v>421</v>
      </c>
      <c r="D221" s="58" t="s">
        <v>10</v>
      </c>
      <c r="E221" s="60">
        <v>0</v>
      </c>
      <c r="F221" s="60">
        <v>0</v>
      </c>
      <c r="G221" s="60">
        <v>0</v>
      </c>
      <c r="H221" s="61">
        <f t="shared" si="3"/>
        <v>0</v>
      </c>
    </row>
    <row r="222" spans="1:8" ht="15" x14ac:dyDescent="0.25">
      <c r="A222" s="58">
        <v>4431</v>
      </c>
      <c r="B222" s="58" t="s">
        <v>273</v>
      </c>
      <c r="C222" s="59" t="s">
        <v>429</v>
      </c>
      <c r="D222" s="58" t="s">
        <v>46</v>
      </c>
      <c r="E222" s="60">
        <v>0</v>
      </c>
      <c r="F222" s="60">
        <v>0</v>
      </c>
      <c r="G222" s="60">
        <v>0</v>
      </c>
      <c r="H222" s="61">
        <f t="shared" si="3"/>
        <v>0</v>
      </c>
    </row>
    <row r="223" spans="1:8" ht="15" x14ac:dyDescent="0.25">
      <c r="A223" s="58">
        <v>4434</v>
      </c>
      <c r="B223" s="58" t="s">
        <v>274</v>
      </c>
      <c r="C223" s="59" t="s">
        <v>431</v>
      </c>
      <c r="D223" s="58" t="s">
        <v>125</v>
      </c>
      <c r="E223" s="60">
        <v>0</v>
      </c>
      <c r="F223" s="60">
        <v>0</v>
      </c>
      <c r="G223" s="60">
        <v>0</v>
      </c>
      <c r="H223" s="61">
        <f t="shared" si="3"/>
        <v>0</v>
      </c>
    </row>
    <row r="224" spans="1:8" ht="15" x14ac:dyDescent="0.25">
      <c r="A224" s="58">
        <v>4483</v>
      </c>
      <c r="B224" s="58" t="s">
        <v>275</v>
      </c>
      <c r="C224" s="59" t="s">
        <v>422</v>
      </c>
      <c r="D224" s="58" t="s">
        <v>54</v>
      </c>
      <c r="E224" s="60">
        <v>0</v>
      </c>
      <c r="F224" s="60">
        <v>0</v>
      </c>
      <c r="G224" s="60">
        <v>0</v>
      </c>
      <c r="H224" s="61">
        <f t="shared" si="3"/>
        <v>0</v>
      </c>
    </row>
    <row r="225" spans="1:8" ht="15" x14ac:dyDescent="0.25">
      <c r="A225" s="58">
        <v>4502</v>
      </c>
      <c r="B225" s="58" t="s">
        <v>276</v>
      </c>
      <c r="C225" s="59" t="s">
        <v>432</v>
      </c>
      <c r="D225" s="58" t="s">
        <v>219</v>
      </c>
      <c r="E225" s="60">
        <v>100</v>
      </c>
      <c r="F225" s="60">
        <v>100</v>
      </c>
      <c r="G225" s="60">
        <v>0</v>
      </c>
      <c r="H225" s="61">
        <f t="shared" si="3"/>
        <v>66.666666666666671</v>
      </c>
    </row>
    <row r="226" spans="1:8" ht="15" x14ac:dyDescent="0.25">
      <c r="A226" s="58">
        <v>4503</v>
      </c>
      <c r="B226" s="58" t="s">
        <v>277</v>
      </c>
      <c r="C226" s="59" t="s">
        <v>421</v>
      </c>
      <c r="D226" s="58" t="s">
        <v>61</v>
      </c>
      <c r="E226" s="60">
        <v>0</v>
      </c>
      <c r="F226" s="60">
        <v>0</v>
      </c>
      <c r="G226" s="60">
        <v>0</v>
      </c>
      <c r="H226" s="61">
        <f t="shared" si="3"/>
        <v>0</v>
      </c>
    </row>
    <row r="227" spans="1:8" ht="15" x14ac:dyDescent="0.25">
      <c r="A227" s="58">
        <v>4508</v>
      </c>
      <c r="B227" s="58" t="s">
        <v>279</v>
      </c>
      <c r="C227" s="59" t="s">
        <v>421</v>
      </c>
      <c r="D227" s="58" t="s">
        <v>10</v>
      </c>
      <c r="E227" s="60">
        <v>0</v>
      </c>
      <c r="F227" s="60">
        <v>100</v>
      </c>
      <c r="G227" s="60">
        <v>100</v>
      </c>
      <c r="H227" s="61">
        <f t="shared" si="3"/>
        <v>66.666666666666671</v>
      </c>
    </row>
    <row r="228" spans="1:8" ht="15" x14ac:dyDescent="0.25">
      <c r="A228" s="58">
        <v>4509</v>
      </c>
      <c r="B228" s="58" t="s">
        <v>280</v>
      </c>
      <c r="C228" s="59" t="s">
        <v>421</v>
      </c>
      <c r="D228" s="58" t="s">
        <v>10</v>
      </c>
      <c r="E228" s="60">
        <v>0</v>
      </c>
      <c r="F228" s="60">
        <v>0</v>
      </c>
      <c r="G228" s="60">
        <v>0</v>
      </c>
      <c r="H228" s="61">
        <f t="shared" si="3"/>
        <v>0</v>
      </c>
    </row>
    <row r="229" spans="1:8" ht="15" x14ac:dyDescent="0.25">
      <c r="A229" s="58">
        <v>4530</v>
      </c>
      <c r="B229" s="58" t="s">
        <v>281</v>
      </c>
      <c r="C229" s="59" t="s">
        <v>421</v>
      </c>
      <c r="D229" s="58" t="s">
        <v>44</v>
      </c>
      <c r="E229" s="60">
        <v>0</v>
      </c>
      <c r="F229" s="60">
        <v>0</v>
      </c>
      <c r="G229" s="60">
        <v>0</v>
      </c>
      <c r="H229" s="61">
        <f t="shared" si="3"/>
        <v>0</v>
      </c>
    </row>
    <row r="230" spans="1:8" ht="15" x14ac:dyDescent="0.25">
      <c r="A230" s="58">
        <v>4548</v>
      </c>
      <c r="B230" s="58" t="s">
        <v>282</v>
      </c>
      <c r="C230" s="59" t="s">
        <v>495</v>
      </c>
      <c r="D230" s="58" t="s">
        <v>24</v>
      </c>
      <c r="E230" s="60">
        <v>0</v>
      </c>
      <c r="F230" s="60">
        <v>0</v>
      </c>
      <c r="G230" s="60">
        <v>0</v>
      </c>
      <c r="H230" s="61">
        <f t="shared" si="3"/>
        <v>0</v>
      </c>
    </row>
    <row r="231" spans="1:8" ht="15" x14ac:dyDescent="0.25">
      <c r="A231" s="58">
        <v>4567</v>
      </c>
      <c r="B231" s="58" t="s">
        <v>283</v>
      </c>
      <c r="C231" s="59" t="s">
        <v>421</v>
      </c>
      <c r="D231" s="58" t="s">
        <v>10</v>
      </c>
      <c r="E231" s="60">
        <v>0</v>
      </c>
      <c r="F231" s="60">
        <v>0</v>
      </c>
      <c r="G231" s="60">
        <v>0</v>
      </c>
      <c r="H231" s="61">
        <f t="shared" si="3"/>
        <v>0</v>
      </c>
    </row>
    <row r="232" spans="1:8" ht="15" x14ac:dyDescent="0.25">
      <c r="A232" s="58">
        <v>4713</v>
      </c>
      <c r="B232" s="58" t="s">
        <v>284</v>
      </c>
      <c r="C232" s="59" t="s">
        <v>421</v>
      </c>
      <c r="D232" s="58" t="s">
        <v>10</v>
      </c>
      <c r="E232" s="60">
        <v>0</v>
      </c>
      <c r="F232" s="60">
        <v>0</v>
      </c>
      <c r="G232" s="60">
        <v>0</v>
      </c>
      <c r="H232" s="61">
        <f t="shared" si="3"/>
        <v>0</v>
      </c>
    </row>
    <row r="233" spans="1:8" ht="15" x14ac:dyDescent="0.25">
      <c r="A233" s="58">
        <v>4726</v>
      </c>
      <c r="B233" s="58" t="s">
        <v>285</v>
      </c>
      <c r="C233" s="59" t="s">
        <v>422</v>
      </c>
      <c r="D233" s="58" t="s">
        <v>54</v>
      </c>
      <c r="E233" s="60">
        <v>0</v>
      </c>
      <c r="F233" s="60">
        <v>0</v>
      </c>
      <c r="G233" s="60">
        <v>0</v>
      </c>
      <c r="H233" s="61">
        <f t="shared" si="3"/>
        <v>0</v>
      </c>
    </row>
    <row r="234" spans="1:8" ht="15" x14ac:dyDescent="0.25">
      <c r="A234" s="58">
        <v>4753</v>
      </c>
      <c r="B234" s="58" t="s">
        <v>286</v>
      </c>
      <c r="C234" s="59" t="s">
        <v>429</v>
      </c>
      <c r="D234" s="58" t="s">
        <v>46</v>
      </c>
      <c r="E234" s="60">
        <v>0</v>
      </c>
      <c r="F234" s="60">
        <v>0</v>
      </c>
      <c r="G234" s="60">
        <v>0</v>
      </c>
      <c r="H234" s="61">
        <f t="shared" si="3"/>
        <v>0</v>
      </c>
    </row>
    <row r="235" spans="1:8" ht="15" x14ac:dyDescent="0.25">
      <c r="A235" s="58">
        <v>4754</v>
      </c>
      <c r="B235" s="58" t="s">
        <v>287</v>
      </c>
      <c r="C235" s="59" t="s">
        <v>429</v>
      </c>
      <c r="D235" s="58" t="s">
        <v>46</v>
      </c>
      <c r="E235" s="60">
        <v>0</v>
      </c>
      <c r="F235" s="60">
        <v>0</v>
      </c>
      <c r="G235" s="60">
        <v>0</v>
      </c>
      <c r="H235" s="61">
        <f t="shared" si="3"/>
        <v>0</v>
      </c>
    </row>
    <row r="236" spans="1:8" ht="15" x14ac:dyDescent="0.25">
      <c r="A236" s="58">
        <v>4805</v>
      </c>
      <c r="B236" s="58" t="s">
        <v>290</v>
      </c>
      <c r="C236" s="59" t="s">
        <v>495</v>
      </c>
      <c r="D236" s="58" t="s">
        <v>24</v>
      </c>
      <c r="E236" s="60">
        <v>0</v>
      </c>
      <c r="F236" s="60">
        <v>0</v>
      </c>
      <c r="G236" s="60">
        <v>0</v>
      </c>
      <c r="H236" s="61">
        <f t="shared" si="3"/>
        <v>0</v>
      </c>
    </row>
    <row r="237" spans="1:8" ht="15" x14ac:dyDescent="0.25">
      <c r="A237" s="58">
        <v>4806</v>
      </c>
      <c r="B237" s="58" t="s">
        <v>291</v>
      </c>
      <c r="C237" s="59" t="s">
        <v>495</v>
      </c>
      <c r="D237" s="58" t="s">
        <v>12</v>
      </c>
      <c r="E237" s="60">
        <v>0</v>
      </c>
      <c r="F237" s="60">
        <v>0</v>
      </c>
      <c r="G237" s="60">
        <v>0</v>
      </c>
      <c r="H237" s="61">
        <f t="shared" si="3"/>
        <v>0</v>
      </c>
    </row>
    <row r="238" spans="1:8" ht="15" x14ac:dyDescent="0.25">
      <c r="A238" s="58">
        <v>5022</v>
      </c>
      <c r="B238" s="58" t="s">
        <v>292</v>
      </c>
      <c r="C238" s="59" t="s">
        <v>421</v>
      </c>
      <c r="D238" s="58" t="s">
        <v>10</v>
      </c>
      <c r="E238" s="60">
        <v>0</v>
      </c>
      <c r="F238" s="60">
        <v>0</v>
      </c>
      <c r="G238" s="60">
        <v>0</v>
      </c>
      <c r="H238" s="61">
        <f t="shared" si="3"/>
        <v>0</v>
      </c>
    </row>
    <row r="239" spans="1:8" ht="15" x14ac:dyDescent="0.25">
      <c r="A239" s="58">
        <v>5033</v>
      </c>
      <c r="B239" s="58" t="s">
        <v>293</v>
      </c>
      <c r="C239" s="59" t="s">
        <v>500</v>
      </c>
      <c r="D239" s="58" t="s">
        <v>158</v>
      </c>
      <c r="E239" s="60">
        <v>0</v>
      </c>
      <c r="F239" s="60">
        <v>0</v>
      </c>
      <c r="G239" s="60">
        <v>0</v>
      </c>
      <c r="H239" s="61">
        <f t="shared" si="3"/>
        <v>0</v>
      </c>
    </row>
    <row r="240" spans="1:8" ht="15" x14ac:dyDescent="0.25">
      <c r="A240" s="58">
        <v>5039</v>
      </c>
      <c r="B240" s="58" t="s">
        <v>294</v>
      </c>
      <c r="C240" s="59" t="s">
        <v>421</v>
      </c>
      <c r="D240" s="58" t="s">
        <v>86</v>
      </c>
      <c r="E240" s="60">
        <v>100</v>
      </c>
      <c r="F240" s="60">
        <v>100</v>
      </c>
      <c r="G240" s="60">
        <v>0</v>
      </c>
      <c r="H240" s="61">
        <f t="shared" si="3"/>
        <v>66.666666666666671</v>
      </c>
    </row>
    <row r="241" spans="1:8" ht="15" x14ac:dyDescent="0.25">
      <c r="A241" s="58">
        <v>5041</v>
      </c>
      <c r="B241" s="58" t="s">
        <v>295</v>
      </c>
      <c r="C241" s="59" t="s">
        <v>421</v>
      </c>
      <c r="D241" s="58" t="s">
        <v>61</v>
      </c>
      <c r="E241" s="60">
        <v>0</v>
      </c>
      <c r="F241" s="60">
        <v>0</v>
      </c>
      <c r="G241" s="60">
        <v>0</v>
      </c>
      <c r="H241" s="61">
        <f t="shared" si="3"/>
        <v>0</v>
      </c>
    </row>
    <row r="242" spans="1:8" ht="15" x14ac:dyDescent="0.25">
      <c r="A242" s="58">
        <v>5045</v>
      </c>
      <c r="B242" s="58" t="s">
        <v>296</v>
      </c>
      <c r="C242" s="59" t="s">
        <v>422</v>
      </c>
      <c r="D242" s="58" t="s">
        <v>54</v>
      </c>
      <c r="E242" s="60">
        <v>0</v>
      </c>
      <c r="F242" s="60">
        <v>0</v>
      </c>
      <c r="G242" s="60">
        <v>0</v>
      </c>
      <c r="H242" s="61">
        <f t="shared" si="3"/>
        <v>0</v>
      </c>
    </row>
    <row r="243" spans="1:8" ht="15" x14ac:dyDescent="0.25">
      <c r="A243" s="58">
        <v>5046</v>
      </c>
      <c r="B243" s="58" t="s">
        <v>297</v>
      </c>
      <c r="C243" s="59" t="s">
        <v>421</v>
      </c>
      <c r="D243" s="58" t="s">
        <v>86</v>
      </c>
      <c r="E243" s="60">
        <v>0</v>
      </c>
      <c r="F243" s="60">
        <v>0</v>
      </c>
      <c r="G243" s="60">
        <v>0</v>
      </c>
      <c r="H243" s="61">
        <f t="shared" si="3"/>
        <v>0</v>
      </c>
    </row>
    <row r="244" spans="1:8" ht="15" x14ac:dyDescent="0.25">
      <c r="A244" s="58">
        <v>5055</v>
      </c>
      <c r="B244" s="58" t="s">
        <v>298</v>
      </c>
      <c r="C244" s="59" t="s">
        <v>422</v>
      </c>
      <c r="D244" s="58" t="s">
        <v>54</v>
      </c>
      <c r="E244" s="60">
        <v>0</v>
      </c>
      <c r="F244" s="60">
        <v>0</v>
      </c>
      <c r="G244" s="60">
        <v>0</v>
      </c>
      <c r="H244" s="61">
        <f t="shared" si="3"/>
        <v>0</v>
      </c>
    </row>
    <row r="245" spans="1:8" ht="15" x14ac:dyDescent="0.25">
      <c r="A245" s="58">
        <v>5058</v>
      </c>
      <c r="B245" s="58" t="s">
        <v>299</v>
      </c>
      <c r="C245" s="59" t="s">
        <v>421</v>
      </c>
      <c r="D245" s="58" t="s">
        <v>61</v>
      </c>
      <c r="E245" s="60">
        <v>0</v>
      </c>
      <c r="F245" s="60">
        <v>0</v>
      </c>
      <c r="G245" s="60">
        <v>0</v>
      </c>
      <c r="H245" s="61">
        <f t="shared" si="3"/>
        <v>0</v>
      </c>
    </row>
    <row r="246" spans="1:8" ht="15" x14ac:dyDescent="0.25">
      <c r="A246" s="58">
        <v>5059</v>
      </c>
      <c r="B246" s="58" t="s">
        <v>300</v>
      </c>
      <c r="C246" s="59" t="s">
        <v>500</v>
      </c>
      <c r="D246" s="58" t="s">
        <v>104</v>
      </c>
      <c r="E246" s="60">
        <v>0</v>
      </c>
      <c r="F246" s="60">
        <v>0</v>
      </c>
      <c r="G246" s="60">
        <v>0</v>
      </c>
      <c r="H246" s="61">
        <f t="shared" si="3"/>
        <v>0</v>
      </c>
    </row>
    <row r="247" spans="1:8" ht="15" x14ac:dyDescent="0.25">
      <c r="A247" s="58">
        <v>5078</v>
      </c>
      <c r="B247" s="58" t="s">
        <v>301</v>
      </c>
      <c r="C247" s="59" t="s">
        <v>421</v>
      </c>
      <c r="D247" s="58" t="s">
        <v>86</v>
      </c>
      <c r="E247" s="60">
        <v>0</v>
      </c>
      <c r="F247" s="60">
        <v>0</v>
      </c>
      <c r="G247" s="60">
        <v>0</v>
      </c>
      <c r="H247" s="61">
        <f t="shared" si="3"/>
        <v>0</v>
      </c>
    </row>
    <row r="248" spans="1:8" ht="15" x14ac:dyDescent="0.25">
      <c r="A248" s="58">
        <v>5083</v>
      </c>
      <c r="B248" s="58" t="s">
        <v>302</v>
      </c>
      <c r="C248" s="59" t="s">
        <v>500</v>
      </c>
      <c r="D248" s="58" t="s">
        <v>104</v>
      </c>
      <c r="E248" s="60">
        <v>0</v>
      </c>
      <c r="F248" s="60">
        <v>0</v>
      </c>
      <c r="G248" s="60">
        <v>0</v>
      </c>
      <c r="H248" s="61">
        <f t="shared" si="3"/>
        <v>0</v>
      </c>
    </row>
    <row r="249" spans="1:8" ht="15" x14ac:dyDescent="0.25">
      <c r="A249" s="58">
        <v>5084</v>
      </c>
      <c r="B249" s="58" t="s">
        <v>303</v>
      </c>
      <c r="C249" s="59" t="s">
        <v>495</v>
      </c>
      <c r="D249" s="58" t="s">
        <v>24</v>
      </c>
      <c r="E249" s="60">
        <v>0</v>
      </c>
      <c r="F249" s="60">
        <v>0</v>
      </c>
      <c r="G249" s="60">
        <v>0</v>
      </c>
      <c r="H249" s="61">
        <f t="shared" si="3"/>
        <v>0</v>
      </c>
    </row>
    <row r="250" spans="1:8" ht="15" x14ac:dyDescent="0.25">
      <c r="A250" s="58">
        <v>5092</v>
      </c>
      <c r="B250" s="58" t="s">
        <v>304</v>
      </c>
      <c r="C250" s="59" t="s">
        <v>422</v>
      </c>
      <c r="D250" s="58" t="s">
        <v>24</v>
      </c>
      <c r="E250" s="60">
        <v>0</v>
      </c>
      <c r="F250" s="60">
        <v>0</v>
      </c>
      <c r="G250" s="60">
        <v>0</v>
      </c>
      <c r="H250" s="61">
        <f t="shared" si="3"/>
        <v>0</v>
      </c>
    </row>
    <row r="251" spans="1:8" ht="15" x14ac:dyDescent="0.25">
      <c r="A251" s="58">
        <v>5097</v>
      </c>
      <c r="B251" s="58" t="s">
        <v>502</v>
      </c>
      <c r="C251" s="59" t="s">
        <v>421</v>
      </c>
      <c r="D251" s="58" t="s">
        <v>86</v>
      </c>
      <c r="E251" s="60">
        <v>0</v>
      </c>
      <c r="F251" s="60">
        <v>0</v>
      </c>
      <c r="G251" s="60">
        <v>0</v>
      </c>
      <c r="H251" s="61">
        <f t="shared" si="3"/>
        <v>0</v>
      </c>
    </row>
    <row r="252" spans="1:8" ht="15" x14ac:dyDescent="0.25">
      <c r="A252" s="58">
        <v>5105</v>
      </c>
      <c r="B252" s="58" t="s">
        <v>305</v>
      </c>
      <c r="C252" s="59" t="s">
        <v>421</v>
      </c>
      <c r="D252" s="58" t="s">
        <v>10</v>
      </c>
      <c r="E252" s="60">
        <v>0</v>
      </c>
      <c r="F252" s="60">
        <v>0</v>
      </c>
      <c r="G252" s="60">
        <v>0</v>
      </c>
      <c r="H252" s="61">
        <f t="shared" si="3"/>
        <v>0</v>
      </c>
    </row>
    <row r="253" spans="1:8" ht="15" x14ac:dyDescent="0.25">
      <c r="A253" s="58">
        <v>5118</v>
      </c>
      <c r="B253" s="58" t="s">
        <v>306</v>
      </c>
      <c r="C253" s="59" t="s">
        <v>421</v>
      </c>
      <c r="D253" s="58" t="s">
        <v>86</v>
      </c>
      <c r="E253" s="60">
        <v>0</v>
      </c>
      <c r="F253" s="60">
        <v>0</v>
      </c>
      <c r="G253" s="60">
        <v>0</v>
      </c>
      <c r="H253" s="61">
        <f t="shared" si="3"/>
        <v>0</v>
      </c>
    </row>
    <row r="254" spans="1:8" ht="15" x14ac:dyDescent="0.25">
      <c r="A254" s="58">
        <v>5125</v>
      </c>
      <c r="B254" s="58" t="s">
        <v>307</v>
      </c>
      <c r="C254" s="59" t="s">
        <v>421</v>
      </c>
      <c r="D254" s="58" t="s">
        <v>86</v>
      </c>
      <c r="E254" s="60">
        <v>0</v>
      </c>
      <c r="F254" s="60">
        <v>0</v>
      </c>
      <c r="G254" s="60">
        <v>0</v>
      </c>
      <c r="H254" s="61">
        <f t="shared" si="3"/>
        <v>0</v>
      </c>
    </row>
    <row r="255" spans="1:8" ht="15" x14ac:dyDescent="0.25">
      <c r="A255" s="58">
        <v>5126</v>
      </c>
      <c r="B255" s="58" t="s">
        <v>308</v>
      </c>
      <c r="C255" s="59" t="s">
        <v>421</v>
      </c>
      <c r="D255" s="58" t="s">
        <v>86</v>
      </c>
      <c r="E255" s="60">
        <v>0</v>
      </c>
      <c r="F255" s="60">
        <v>0</v>
      </c>
      <c r="G255" s="60">
        <v>0</v>
      </c>
      <c r="H255" s="61">
        <f t="shared" si="3"/>
        <v>0</v>
      </c>
    </row>
    <row r="256" spans="1:8" ht="15" x14ac:dyDescent="0.25">
      <c r="A256" s="58">
        <v>5127</v>
      </c>
      <c r="B256" s="58" t="s">
        <v>309</v>
      </c>
      <c r="C256" s="59" t="s">
        <v>421</v>
      </c>
      <c r="D256" s="58" t="s">
        <v>86</v>
      </c>
      <c r="E256" s="60">
        <v>0</v>
      </c>
      <c r="F256" s="60">
        <v>0</v>
      </c>
      <c r="G256" s="60">
        <v>0</v>
      </c>
      <c r="H256" s="61">
        <f t="shared" si="3"/>
        <v>0</v>
      </c>
    </row>
    <row r="257" spans="1:8" ht="15" x14ac:dyDescent="0.25">
      <c r="A257" s="58">
        <v>5129</v>
      </c>
      <c r="B257" s="58" t="s">
        <v>310</v>
      </c>
      <c r="C257" s="59" t="s">
        <v>422</v>
      </c>
      <c r="D257" s="58" t="s">
        <v>54</v>
      </c>
      <c r="E257" s="60">
        <v>0</v>
      </c>
      <c r="F257" s="60">
        <v>0</v>
      </c>
      <c r="G257" s="60">
        <v>0</v>
      </c>
      <c r="H257" s="61">
        <f t="shared" si="3"/>
        <v>0</v>
      </c>
    </row>
    <row r="258" spans="1:8" ht="15" x14ac:dyDescent="0.25">
      <c r="A258" s="58">
        <v>5132</v>
      </c>
      <c r="B258" s="58" t="s">
        <v>311</v>
      </c>
      <c r="C258" s="59" t="s">
        <v>500</v>
      </c>
      <c r="D258" s="58" t="s">
        <v>104</v>
      </c>
      <c r="E258" s="60">
        <v>0</v>
      </c>
      <c r="F258" s="60">
        <v>0</v>
      </c>
      <c r="G258" s="60">
        <v>0</v>
      </c>
      <c r="H258" s="61">
        <f t="shared" si="3"/>
        <v>0</v>
      </c>
    </row>
    <row r="259" spans="1:8" ht="15" x14ac:dyDescent="0.25">
      <c r="A259" s="58">
        <v>5139</v>
      </c>
      <c r="B259" s="58" t="s">
        <v>503</v>
      </c>
      <c r="C259" s="59" t="s">
        <v>421</v>
      </c>
      <c r="D259" s="58" t="s">
        <v>86</v>
      </c>
      <c r="E259" s="60">
        <v>0</v>
      </c>
      <c r="F259" s="60">
        <v>0</v>
      </c>
      <c r="G259" s="60">
        <v>0</v>
      </c>
      <c r="H259" s="61">
        <f t="shared" ref="H259:H303" si="4">AVERAGE(E259:G259)</f>
        <v>0</v>
      </c>
    </row>
    <row r="260" spans="1:8" ht="15" x14ac:dyDescent="0.25">
      <c r="A260" s="58">
        <v>5152</v>
      </c>
      <c r="B260" s="58" t="s">
        <v>504</v>
      </c>
      <c r="C260" s="59" t="s">
        <v>429</v>
      </c>
      <c r="D260" s="58" t="s">
        <v>46</v>
      </c>
      <c r="E260" s="60">
        <v>0</v>
      </c>
      <c r="F260" s="60">
        <v>0</v>
      </c>
      <c r="G260" s="60">
        <v>0</v>
      </c>
      <c r="H260" s="61">
        <f t="shared" si="4"/>
        <v>0</v>
      </c>
    </row>
    <row r="261" spans="1:8" ht="15" x14ac:dyDescent="0.25">
      <c r="A261" s="58">
        <v>5164</v>
      </c>
      <c r="B261" s="58" t="s">
        <v>312</v>
      </c>
      <c r="C261" s="59" t="s">
        <v>429</v>
      </c>
      <c r="D261" s="58" t="s">
        <v>46</v>
      </c>
      <c r="E261" s="60">
        <v>0</v>
      </c>
      <c r="F261" s="60">
        <v>0</v>
      </c>
      <c r="G261" s="60">
        <v>0</v>
      </c>
      <c r="H261" s="61">
        <f t="shared" si="4"/>
        <v>0</v>
      </c>
    </row>
    <row r="262" spans="1:8" ht="15" x14ac:dyDescent="0.25">
      <c r="A262" s="58">
        <v>5175</v>
      </c>
      <c r="B262" s="58" t="s">
        <v>313</v>
      </c>
      <c r="C262" s="59" t="s">
        <v>500</v>
      </c>
      <c r="D262" s="58" t="s">
        <v>158</v>
      </c>
      <c r="E262" s="60">
        <v>0</v>
      </c>
      <c r="F262" s="60">
        <v>0</v>
      </c>
      <c r="G262" s="60">
        <v>0</v>
      </c>
      <c r="H262" s="61">
        <f t="shared" si="4"/>
        <v>0</v>
      </c>
    </row>
    <row r="263" spans="1:8" ht="15" x14ac:dyDescent="0.25">
      <c r="A263" s="58">
        <v>5176</v>
      </c>
      <c r="B263" s="58" t="s">
        <v>314</v>
      </c>
      <c r="C263" s="59" t="s">
        <v>421</v>
      </c>
      <c r="D263" s="58" t="s">
        <v>86</v>
      </c>
      <c r="E263" s="60">
        <v>0</v>
      </c>
      <c r="F263" s="60">
        <v>0</v>
      </c>
      <c r="G263" s="60">
        <v>0</v>
      </c>
      <c r="H263" s="61">
        <f t="shared" si="4"/>
        <v>0</v>
      </c>
    </row>
    <row r="264" spans="1:8" ht="15" x14ac:dyDescent="0.25">
      <c r="A264" s="58">
        <v>5185</v>
      </c>
      <c r="B264" s="58" t="s">
        <v>315</v>
      </c>
      <c r="C264" s="59" t="s">
        <v>421</v>
      </c>
      <c r="D264" s="58" t="s">
        <v>86</v>
      </c>
      <c r="E264" s="60">
        <v>0</v>
      </c>
      <c r="F264" s="60">
        <v>0</v>
      </c>
      <c r="G264" s="60">
        <v>0</v>
      </c>
      <c r="H264" s="61">
        <f t="shared" si="4"/>
        <v>0</v>
      </c>
    </row>
    <row r="265" spans="1:8" ht="15" x14ac:dyDescent="0.25">
      <c r="A265" s="58">
        <v>5186</v>
      </c>
      <c r="B265" s="58" t="s">
        <v>316</v>
      </c>
      <c r="C265" s="59" t="s">
        <v>421</v>
      </c>
      <c r="D265" s="58" t="s">
        <v>86</v>
      </c>
      <c r="E265" s="60">
        <v>0</v>
      </c>
      <c r="F265" s="60">
        <v>0</v>
      </c>
      <c r="G265" s="60">
        <v>0</v>
      </c>
      <c r="H265" s="61">
        <f t="shared" si="4"/>
        <v>0</v>
      </c>
    </row>
    <row r="266" spans="1:8" ht="15" x14ac:dyDescent="0.25">
      <c r="A266" s="58">
        <v>5194</v>
      </c>
      <c r="B266" s="58" t="s">
        <v>317</v>
      </c>
      <c r="C266" s="59" t="s">
        <v>421</v>
      </c>
      <c r="D266" s="58" t="s">
        <v>86</v>
      </c>
      <c r="E266" s="60">
        <v>0</v>
      </c>
      <c r="F266" s="60">
        <v>0</v>
      </c>
      <c r="G266" s="60">
        <v>0</v>
      </c>
      <c r="H266" s="61">
        <f t="shared" si="4"/>
        <v>0</v>
      </c>
    </row>
    <row r="267" spans="1:8" ht="15" x14ac:dyDescent="0.25">
      <c r="A267" s="58">
        <v>5202</v>
      </c>
      <c r="B267" s="58" t="s">
        <v>318</v>
      </c>
      <c r="C267" s="59" t="s">
        <v>495</v>
      </c>
      <c r="D267" s="58" t="s">
        <v>24</v>
      </c>
      <c r="E267" s="60">
        <v>0</v>
      </c>
      <c r="F267" s="60">
        <v>0</v>
      </c>
      <c r="G267" s="60">
        <v>0</v>
      </c>
      <c r="H267" s="61">
        <f t="shared" si="4"/>
        <v>0</v>
      </c>
    </row>
    <row r="268" spans="1:8" ht="15" x14ac:dyDescent="0.25">
      <c r="A268" s="58">
        <v>5203</v>
      </c>
      <c r="B268" s="58" t="s">
        <v>319</v>
      </c>
      <c r="C268" s="59" t="s">
        <v>500</v>
      </c>
      <c r="D268" s="58" t="s">
        <v>104</v>
      </c>
      <c r="E268" s="60">
        <v>0</v>
      </c>
      <c r="F268" s="60">
        <v>0</v>
      </c>
      <c r="G268" s="60">
        <v>0</v>
      </c>
      <c r="H268" s="61">
        <f t="shared" si="4"/>
        <v>0</v>
      </c>
    </row>
    <row r="269" spans="1:8" ht="15" x14ac:dyDescent="0.25">
      <c r="A269" s="58">
        <v>5209</v>
      </c>
      <c r="B269" s="58" t="s">
        <v>505</v>
      </c>
      <c r="C269" s="59" t="s">
        <v>421</v>
      </c>
      <c r="D269" s="58" t="s">
        <v>86</v>
      </c>
      <c r="E269" s="60">
        <v>0</v>
      </c>
      <c r="F269" s="60">
        <v>0</v>
      </c>
      <c r="G269" s="60">
        <v>0</v>
      </c>
      <c r="H269" s="61">
        <f t="shared" si="4"/>
        <v>0</v>
      </c>
    </row>
    <row r="270" spans="1:8" ht="15" x14ac:dyDescent="0.25">
      <c r="A270" s="58">
        <v>5217</v>
      </c>
      <c r="B270" s="58" t="s">
        <v>320</v>
      </c>
      <c r="C270" s="59" t="s">
        <v>421</v>
      </c>
      <c r="D270" s="58" t="s">
        <v>86</v>
      </c>
      <c r="E270" s="60">
        <v>0</v>
      </c>
      <c r="F270" s="60">
        <v>0</v>
      </c>
      <c r="G270" s="60">
        <v>0</v>
      </c>
      <c r="H270" s="61">
        <f t="shared" si="4"/>
        <v>0</v>
      </c>
    </row>
    <row r="271" spans="1:8" ht="15" x14ac:dyDescent="0.25">
      <c r="A271" s="58">
        <v>5220</v>
      </c>
      <c r="B271" s="58" t="s">
        <v>321</v>
      </c>
      <c r="C271" s="59" t="s">
        <v>500</v>
      </c>
      <c r="D271" s="58" t="s">
        <v>104</v>
      </c>
      <c r="E271" s="60">
        <v>0</v>
      </c>
      <c r="F271" s="60">
        <v>0</v>
      </c>
      <c r="G271" s="60">
        <v>0</v>
      </c>
      <c r="H271" s="61">
        <f t="shared" si="4"/>
        <v>0</v>
      </c>
    </row>
    <row r="272" spans="1:8" ht="15" x14ac:dyDescent="0.25">
      <c r="A272" s="58">
        <v>5242</v>
      </c>
      <c r="B272" s="58" t="s">
        <v>322</v>
      </c>
      <c r="C272" s="59" t="s">
        <v>421</v>
      </c>
      <c r="D272" s="58" t="s">
        <v>10</v>
      </c>
      <c r="E272" s="60">
        <v>0</v>
      </c>
      <c r="F272" s="60">
        <v>0</v>
      </c>
      <c r="G272" s="60">
        <v>0</v>
      </c>
      <c r="H272" s="61">
        <f t="shared" si="4"/>
        <v>0</v>
      </c>
    </row>
    <row r="273" spans="1:8" ht="15" x14ac:dyDescent="0.25">
      <c r="A273" s="58">
        <v>5243</v>
      </c>
      <c r="B273" s="58" t="s">
        <v>323</v>
      </c>
      <c r="C273" s="59" t="s">
        <v>422</v>
      </c>
      <c r="D273" s="58" t="s">
        <v>54</v>
      </c>
      <c r="E273" s="60">
        <v>0</v>
      </c>
      <c r="F273" s="60">
        <v>0</v>
      </c>
      <c r="G273" s="60">
        <v>0</v>
      </c>
      <c r="H273" s="61">
        <f t="shared" si="4"/>
        <v>0</v>
      </c>
    </row>
    <row r="274" spans="1:8" ht="15" x14ac:dyDescent="0.25">
      <c r="A274" s="58">
        <v>5244</v>
      </c>
      <c r="B274" s="58" t="s">
        <v>324</v>
      </c>
      <c r="C274" s="59" t="s">
        <v>421</v>
      </c>
      <c r="D274" s="58" t="s">
        <v>86</v>
      </c>
      <c r="E274" s="60">
        <v>0</v>
      </c>
      <c r="F274" s="60">
        <v>0</v>
      </c>
      <c r="G274" s="60">
        <v>0</v>
      </c>
      <c r="H274" s="61">
        <f t="shared" si="4"/>
        <v>0</v>
      </c>
    </row>
    <row r="275" spans="1:8" ht="15" x14ac:dyDescent="0.25">
      <c r="A275" s="58">
        <v>5245</v>
      </c>
      <c r="B275" s="58" t="s">
        <v>325</v>
      </c>
      <c r="C275" s="59" t="s">
        <v>421</v>
      </c>
      <c r="D275" s="58" t="s">
        <v>86</v>
      </c>
      <c r="E275" s="60">
        <v>0</v>
      </c>
      <c r="F275" s="60">
        <v>0</v>
      </c>
      <c r="G275" s="60">
        <v>0</v>
      </c>
      <c r="H275" s="61">
        <f t="shared" si="4"/>
        <v>0</v>
      </c>
    </row>
    <row r="276" spans="1:8" ht="15" x14ac:dyDescent="0.25">
      <c r="A276" s="58">
        <v>5262</v>
      </c>
      <c r="B276" s="58" t="s">
        <v>326</v>
      </c>
      <c r="C276" s="59" t="s">
        <v>422</v>
      </c>
      <c r="D276" s="58" t="s">
        <v>54</v>
      </c>
      <c r="E276" s="60">
        <v>0</v>
      </c>
      <c r="F276" s="60">
        <v>0</v>
      </c>
      <c r="G276" s="60">
        <v>0</v>
      </c>
      <c r="H276" s="61">
        <f t="shared" si="4"/>
        <v>0</v>
      </c>
    </row>
    <row r="277" spans="1:8" ht="15" x14ac:dyDescent="0.25">
      <c r="A277" s="58">
        <v>5265</v>
      </c>
      <c r="B277" s="58" t="s">
        <v>327</v>
      </c>
      <c r="C277" s="59" t="s">
        <v>421</v>
      </c>
      <c r="D277" s="58" t="s">
        <v>10</v>
      </c>
      <c r="E277" s="60">
        <v>0</v>
      </c>
      <c r="F277" s="60">
        <v>0</v>
      </c>
      <c r="G277" s="60">
        <v>0</v>
      </c>
      <c r="H277" s="61">
        <f t="shared" si="4"/>
        <v>0</v>
      </c>
    </row>
    <row r="278" spans="1:8" ht="15" x14ac:dyDescent="0.25">
      <c r="A278" s="58">
        <v>5266</v>
      </c>
      <c r="B278" s="58" t="s">
        <v>328</v>
      </c>
      <c r="C278" s="59" t="s">
        <v>421</v>
      </c>
      <c r="D278" s="58" t="s">
        <v>10</v>
      </c>
      <c r="E278" s="60">
        <v>0</v>
      </c>
      <c r="F278" s="60">
        <v>0</v>
      </c>
      <c r="G278" s="60">
        <v>0</v>
      </c>
      <c r="H278" s="61">
        <f t="shared" si="4"/>
        <v>0</v>
      </c>
    </row>
    <row r="279" spans="1:8" ht="15" x14ac:dyDescent="0.25">
      <c r="A279" s="58">
        <v>5267</v>
      </c>
      <c r="B279" s="58" t="s">
        <v>506</v>
      </c>
      <c r="C279" s="59" t="s">
        <v>421</v>
      </c>
      <c r="D279" s="58" t="s">
        <v>10</v>
      </c>
      <c r="E279" s="60">
        <v>0</v>
      </c>
      <c r="F279" s="60">
        <v>0</v>
      </c>
      <c r="G279" s="60">
        <v>0</v>
      </c>
      <c r="H279" s="61">
        <f t="shared" si="4"/>
        <v>0</v>
      </c>
    </row>
    <row r="280" spans="1:8" ht="15" x14ac:dyDescent="0.25">
      <c r="A280" s="58">
        <v>5268</v>
      </c>
      <c r="B280" s="58" t="s">
        <v>329</v>
      </c>
      <c r="C280" s="59" t="s">
        <v>421</v>
      </c>
      <c r="D280" s="58" t="s">
        <v>10</v>
      </c>
      <c r="E280" s="60">
        <v>0</v>
      </c>
      <c r="F280" s="60">
        <v>0</v>
      </c>
      <c r="G280" s="60">
        <v>0</v>
      </c>
      <c r="H280" s="61">
        <f t="shared" si="4"/>
        <v>0</v>
      </c>
    </row>
    <row r="281" spans="1:8" ht="15" x14ac:dyDescent="0.25">
      <c r="A281" s="58">
        <v>5274</v>
      </c>
      <c r="B281" s="58" t="s">
        <v>330</v>
      </c>
      <c r="C281" s="59" t="s">
        <v>421</v>
      </c>
      <c r="D281" s="58" t="s">
        <v>10</v>
      </c>
      <c r="E281" s="60">
        <v>0</v>
      </c>
      <c r="F281" s="60">
        <v>0</v>
      </c>
      <c r="G281" s="60">
        <v>0</v>
      </c>
      <c r="H281" s="61">
        <f t="shared" si="4"/>
        <v>0</v>
      </c>
    </row>
    <row r="282" spans="1:8" ht="15" x14ac:dyDescent="0.25">
      <c r="A282" s="58">
        <v>5275</v>
      </c>
      <c r="B282" s="58" t="s">
        <v>331</v>
      </c>
      <c r="C282" s="59" t="s">
        <v>422</v>
      </c>
      <c r="D282" s="58" t="s">
        <v>54</v>
      </c>
      <c r="E282" s="60">
        <v>0</v>
      </c>
      <c r="F282" s="60">
        <v>0</v>
      </c>
      <c r="G282" s="60">
        <v>0</v>
      </c>
      <c r="H282" s="61">
        <f t="shared" si="4"/>
        <v>0</v>
      </c>
    </row>
    <row r="283" spans="1:8" ht="15" x14ac:dyDescent="0.25">
      <c r="A283" s="58">
        <v>5277</v>
      </c>
      <c r="B283" s="58" t="s">
        <v>332</v>
      </c>
      <c r="C283" s="59" t="s">
        <v>429</v>
      </c>
      <c r="D283" s="58" t="s">
        <v>46</v>
      </c>
      <c r="E283" s="60">
        <v>0</v>
      </c>
      <c r="F283" s="60">
        <v>0</v>
      </c>
      <c r="G283" s="60">
        <v>0</v>
      </c>
      <c r="H283" s="61">
        <f t="shared" si="4"/>
        <v>0</v>
      </c>
    </row>
    <row r="284" spans="1:8" ht="15" x14ac:dyDescent="0.25">
      <c r="A284" s="58">
        <v>5278</v>
      </c>
      <c r="B284" s="58" t="s">
        <v>333</v>
      </c>
      <c r="C284" s="59" t="s">
        <v>421</v>
      </c>
      <c r="D284" s="58" t="s">
        <v>86</v>
      </c>
      <c r="E284" s="60">
        <v>0</v>
      </c>
      <c r="F284" s="60">
        <v>0</v>
      </c>
      <c r="G284" s="60">
        <v>0</v>
      </c>
      <c r="H284" s="61">
        <f t="shared" si="4"/>
        <v>0</v>
      </c>
    </row>
    <row r="285" spans="1:8" ht="15" x14ac:dyDescent="0.25">
      <c r="A285" s="58">
        <v>5285</v>
      </c>
      <c r="B285" s="58" t="s">
        <v>334</v>
      </c>
      <c r="C285" s="59" t="s">
        <v>422</v>
      </c>
      <c r="D285" s="58" t="s">
        <v>54</v>
      </c>
      <c r="E285" s="60">
        <v>0</v>
      </c>
      <c r="F285" s="60">
        <v>0</v>
      </c>
      <c r="G285" s="60">
        <v>0</v>
      </c>
      <c r="H285" s="61">
        <f t="shared" si="4"/>
        <v>0</v>
      </c>
    </row>
    <row r="286" spans="1:8" ht="15" x14ac:dyDescent="0.25">
      <c r="A286" s="58">
        <v>5287</v>
      </c>
      <c r="B286" s="58" t="s">
        <v>335</v>
      </c>
      <c r="C286" s="59" t="s">
        <v>421</v>
      </c>
      <c r="D286" s="58" t="s">
        <v>86</v>
      </c>
      <c r="E286" s="60">
        <v>0</v>
      </c>
      <c r="F286" s="60">
        <v>0</v>
      </c>
      <c r="G286" s="60">
        <v>0</v>
      </c>
      <c r="H286" s="61">
        <f t="shared" si="4"/>
        <v>0</v>
      </c>
    </row>
    <row r="287" spans="1:8" ht="15" x14ac:dyDescent="0.25">
      <c r="A287" s="58">
        <v>5291</v>
      </c>
      <c r="B287" s="58" t="s">
        <v>507</v>
      </c>
      <c r="C287" s="59" t="s">
        <v>422</v>
      </c>
      <c r="D287" s="58" t="s">
        <v>54</v>
      </c>
      <c r="E287" s="60">
        <v>0</v>
      </c>
      <c r="F287" s="60">
        <v>0</v>
      </c>
      <c r="G287" s="60">
        <v>0</v>
      </c>
      <c r="H287" s="61">
        <f t="shared" si="4"/>
        <v>0</v>
      </c>
    </row>
    <row r="288" spans="1:8" ht="15" x14ac:dyDescent="0.25">
      <c r="A288" s="58">
        <v>5293</v>
      </c>
      <c r="B288" s="58" t="s">
        <v>336</v>
      </c>
      <c r="C288" s="59" t="s">
        <v>421</v>
      </c>
      <c r="D288" s="58" t="s">
        <v>86</v>
      </c>
      <c r="E288" s="60">
        <v>0</v>
      </c>
      <c r="F288" s="60">
        <v>0</v>
      </c>
      <c r="G288" s="60">
        <v>0</v>
      </c>
      <c r="H288" s="61">
        <f t="shared" si="4"/>
        <v>0</v>
      </c>
    </row>
    <row r="289" spans="1:8" ht="15" x14ac:dyDescent="0.25">
      <c r="A289" s="58">
        <v>5294</v>
      </c>
      <c r="B289" s="58" t="s">
        <v>337</v>
      </c>
      <c r="C289" s="59" t="s">
        <v>422</v>
      </c>
      <c r="D289" s="58" t="s">
        <v>54</v>
      </c>
      <c r="E289" s="60">
        <v>0</v>
      </c>
      <c r="F289" s="60">
        <v>0</v>
      </c>
      <c r="G289" s="60">
        <v>0</v>
      </c>
      <c r="H289" s="61">
        <f t="shared" si="4"/>
        <v>0</v>
      </c>
    </row>
    <row r="290" spans="1:8" ht="15" x14ac:dyDescent="0.25">
      <c r="A290" s="58">
        <v>5300</v>
      </c>
      <c r="B290" s="58" t="s">
        <v>338</v>
      </c>
      <c r="C290" s="59" t="s">
        <v>422</v>
      </c>
      <c r="D290" s="58" t="s">
        <v>54</v>
      </c>
      <c r="E290" s="60">
        <v>0</v>
      </c>
      <c r="F290" s="60">
        <v>0</v>
      </c>
      <c r="G290" s="60">
        <v>0</v>
      </c>
      <c r="H290" s="61">
        <f t="shared" si="4"/>
        <v>0</v>
      </c>
    </row>
    <row r="291" spans="1:8" ht="15" x14ac:dyDescent="0.25">
      <c r="A291" s="58">
        <v>5302</v>
      </c>
      <c r="B291" s="58" t="s">
        <v>339</v>
      </c>
      <c r="C291" s="59" t="s">
        <v>421</v>
      </c>
      <c r="D291" s="58" t="s">
        <v>10</v>
      </c>
      <c r="E291" s="60">
        <v>0</v>
      </c>
      <c r="F291" s="60">
        <v>0</v>
      </c>
      <c r="G291" s="60">
        <v>0</v>
      </c>
      <c r="H291" s="61">
        <f t="shared" si="4"/>
        <v>0</v>
      </c>
    </row>
    <row r="292" spans="1:8" ht="15" x14ac:dyDescent="0.25">
      <c r="A292" s="58">
        <v>5303</v>
      </c>
      <c r="B292" s="58" t="s">
        <v>340</v>
      </c>
      <c r="C292" s="59" t="s">
        <v>500</v>
      </c>
      <c r="D292" s="58" t="s">
        <v>158</v>
      </c>
      <c r="E292" s="60">
        <v>0</v>
      </c>
      <c r="F292" s="60">
        <v>0</v>
      </c>
      <c r="G292" s="60">
        <v>0</v>
      </c>
      <c r="H292" s="61">
        <f t="shared" si="4"/>
        <v>0</v>
      </c>
    </row>
    <row r="293" spans="1:8" ht="15" x14ac:dyDescent="0.25">
      <c r="A293" s="58">
        <v>5304</v>
      </c>
      <c r="B293" s="58" t="s">
        <v>341</v>
      </c>
      <c r="C293" s="59" t="s">
        <v>421</v>
      </c>
      <c r="D293" s="58" t="s">
        <v>10</v>
      </c>
      <c r="E293" s="60">
        <v>0</v>
      </c>
      <c r="F293" s="60">
        <v>0</v>
      </c>
      <c r="G293" s="60">
        <v>0</v>
      </c>
      <c r="H293" s="61">
        <f t="shared" si="4"/>
        <v>0</v>
      </c>
    </row>
    <row r="294" spans="1:8" ht="15" x14ac:dyDescent="0.25">
      <c r="A294" s="58">
        <v>5306</v>
      </c>
      <c r="B294" s="58" t="s">
        <v>342</v>
      </c>
      <c r="C294" s="59" t="s">
        <v>422</v>
      </c>
      <c r="D294" s="58" t="s">
        <v>54</v>
      </c>
      <c r="E294" s="60">
        <v>0</v>
      </c>
      <c r="F294" s="60">
        <v>0</v>
      </c>
      <c r="G294" s="60">
        <v>0</v>
      </c>
      <c r="H294" s="61">
        <f t="shared" si="4"/>
        <v>0</v>
      </c>
    </row>
    <row r="295" spans="1:8" ht="15" x14ac:dyDescent="0.25">
      <c r="A295" s="58">
        <v>5307</v>
      </c>
      <c r="B295" s="58" t="s">
        <v>343</v>
      </c>
      <c r="C295" s="59" t="s">
        <v>422</v>
      </c>
      <c r="D295" s="58" t="s">
        <v>54</v>
      </c>
      <c r="E295" s="60">
        <v>0</v>
      </c>
      <c r="F295" s="60">
        <v>0</v>
      </c>
      <c r="G295" s="60">
        <v>0</v>
      </c>
      <c r="H295" s="61">
        <f t="shared" si="4"/>
        <v>0</v>
      </c>
    </row>
    <row r="296" spans="1:8" ht="15" x14ac:dyDescent="0.25">
      <c r="A296" s="58">
        <v>5308</v>
      </c>
      <c r="B296" s="58" t="s">
        <v>508</v>
      </c>
      <c r="C296" s="59" t="s">
        <v>421</v>
      </c>
      <c r="D296" s="58" t="s">
        <v>10</v>
      </c>
      <c r="E296" s="60">
        <v>0</v>
      </c>
      <c r="F296" s="60">
        <v>0</v>
      </c>
      <c r="G296" s="60">
        <v>0</v>
      </c>
      <c r="H296" s="61">
        <f t="shared" si="4"/>
        <v>0</v>
      </c>
    </row>
    <row r="297" spans="1:8" ht="15" x14ac:dyDescent="0.25">
      <c r="A297" s="58">
        <v>5309</v>
      </c>
      <c r="B297" s="58" t="s">
        <v>344</v>
      </c>
      <c r="C297" s="59" t="s">
        <v>421</v>
      </c>
      <c r="D297" s="58" t="s">
        <v>10</v>
      </c>
      <c r="E297" s="60">
        <v>0</v>
      </c>
      <c r="F297" s="60">
        <v>0</v>
      </c>
      <c r="G297" s="60">
        <v>0</v>
      </c>
      <c r="H297" s="61">
        <f t="shared" si="4"/>
        <v>0</v>
      </c>
    </row>
    <row r="298" spans="1:8" ht="15" x14ac:dyDescent="0.25">
      <c r="A298" s="58">
        <v>5310</v>
      </c>
      <c r="B298" s="58" t="s">
        <v>345</v>
      </c>
      <c r="C298" s="59" t="s">
        <v>429</v>
      </c>
      <c r="D298" s="58" t="s">
        <v>46</v>
      </c>
      <c r="E298" s="60">
        <v>0</v>
      </c>
      <c r="F298" s="60">
        <v>0</v>
      </c>
      <c r="G298" s="60">
        <v>0</v>
      </c>
      <c r="H298" s="61">
        <f t="shared" si="4"/>
        <v>0</v>
      </c>
    </row>
    <row r="299" spans="1:8" ht="15" x14ac:dyDescent="0.25">
      <c r="A299" s="58">
        <v>5313</v>
      </c>
      <c r="B299" s="58" t="s">
        <v>346</v>
      </c>
      <c r="C299" s="59" t="s">
        <v>421</v>
      </c>
      <c r="D299" s="58" t="s">
        <v>86</v>
      </c>
      <c r="E299" s="60">
        <v>0</v>
      </c>
      <c r="F299" s="60">
        <v>0</v>
      </c>
      <c r="G299" s="60">
        <v>0</v>
      </c>
      <c r="H299" s="61">
        <f t="shared" si="4"/>
        <v>0</v>
      </c>
    </row>
    <row r="300" spans="1:8" ht="15" x14ac:dyDescent="0.25">
      <c r="A300" s="58">
        <v>5314</v>
      </c>
      <c r="B300" s="58" t="s">
        <v>347</v>
      </c>
      <c r="C300" s="59" t="s">
        <v>421</v>
      </c>
      <c r="D300" s="58" t="s">
        <v>86</v>
      </c>
      <c r="E300" s="60">
        <v>0</v>
      </c>
      <c r="F300" s="60">
        <v>0</v>
      </c>
      <c r="G300" s="60">
        <v>0</v>
      </c>
      <c r="H300" s="61">
        <f t="shared" si="4"/>
        <v>0</v>
      </c>
    </row>
    <row r="301" spans="1:8" ht="15" x14ac:dyDescent="0.25">
      <c r="A301" s="58">
        <v>5315</v>
      </c>
      <c r="B301" s="58" t="s">
        <v>348</v>
      </c>
      <c r="C301" s="59" t="s">
        <v>421</v>
      </c>
      <c r="D301" s="58" t="s">
        <v>86</v>
      </c>
      <c r="E301" s="60">
        <v>0</v>
      </c>
      <c r="F301" s="60">
        <v>0</v>
      </c>
      <c r="G301" s="60">
        <v>0</v>
      </c>
      <c r="H301" s="61">
        <f t="shared" si="4"/>
        <v>0</v>
      </c>
    </row>
    <row r="302" spans="1:8" ht="15" x14ac:dyDescent="0.25">
      <c r="A302" s="58">
        <v>5316</v>
      </c>
      <c r="B302" s="58" t="s">
        <v>349</v>
      </c>
      <c r="C302" s="59" t="s">
        <v>422</v>
      </c>
      <c r="D302" s="58" t="s">
        <v>54</v>
      </c>
      <c r="E302" s="60">
        <v>0</v>
      </c>
      <c r="F302" s="60">
        <v>0</v>
      </c>
      <c r="G302" s="60">
        <v>0</v>
      </c>
      <c r="H302" s="61">
        <f t="shared" si="4"/>
        <v>0</v>
      </c>
    </row>
    <row r="303" spans="1:8" ht="15" x14ac:dyDescent="0.25">
      <c r="A303" s="58">
        <v>5317</v>
      </c>
      <c r="B303" s="58" t="s">
        <v>350</v>
      </c>
      <c r="C303" s="59" t="s">
        <v>422</v>
      </c>
      <c r="D303" s="58" t="s">
        <v>54</v>
      </c>
      <c r="E303" s="60">
        <v>0</v>
      </c>
      <c r="F303" s="60">
        <v>0</v>
      </c>
      <c r="G303" s="60">
        <v>0</v>
      </c>
      <c r="H303" s="61">
        <f t="shared" si="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0E99-88BA-404A-8557-E51A57C0010F}">
  <sheetPr codeName="Sayfa4"/>
  <dimension ref="A1:H319"/>
  <sheetViews>
    <sheetView workbookViewId="0">
      <selection activeCell="B2" sqref="B2:D2"/>
    </sheetView>
  </sheetViews>
  <sheetFormatPr defaultRowHeight="12.75" x14ac:dyDescent="0.2"/>
  <cols>
    <col min="1" max="1" width="10.42578125" bestFit="1" customWidth="1"/>
    <col min="2" max="2" width="26.5703125" bestFit="1" customWidth="1"/>
    <col min="3" max="3" width="20.140625" bestFit="1" customWidth="1"/>
    <col min="4" max="4" width="36.5703125" bestFit="1" customWidth="1"/>
    <col min="8" max="8" width="11.42578125" bestFit="1" customWidth="1"/>
  </cols>
  <sheetData>
    <row r="1" spans="1:8" ht="16.5" customHeight="1" x14ac:dyDescent="0.2">
      <c r="A1" s="63" t="s">
        <v>509</v>
      </c>
      <c r="B1" s="63" t="s">
        <v>490</v>
      </c>
      <c r="C1" s="63" t="s">
        <v>465</v>
      </c>
      <c r="D1" s="63" t="s">
        <v>371</v>
      </c>
      <c r="E1" s="63" t="s">
        <v>491</v>
      </c>
      <c r="F1" s="63" t="s">
        <v>492</v>
      </c>
      <c r="G1" s="63" t="s">
        <v>493</v>
      </c>
      <c r="H1" s="64" t="s">
        <v>494</v>
      </c>
    </row>
    <row r="2" spans="1:8" x14ac:dyDescent="0.2">
      <c r="A2" s="62">
        <v>12</v>
      </c>
      <c r="B2" s="62" t="s">
        <v>0</v>
      </c>
      <c r="C2" s="62" t="s">
        <v>422</v>
      </c>
      <c r="D2" s="62" t="s">
        <v>1</v>
      </c>
      <c r="E2" s="62">
        <v>0</v>
      </c>
      <c r="F2" s="62">
        <v>0</v>
      </c>
      <c r="G2" s="62">
        <v>0</v>
      </c>
      <c r="H2" s="40">
        <f>AVERAGE(E2:G2)</f>
        <v>0</v>
      </c>
    </row>
    <row r="3" spans="1:8" x14ac:dyDescent="0.2">
      <c r="A3" s="62">
        <v>15</v>
      </c>
      <c r="B3" s="62" t="s">
        <v>2</v>
      </c>
      <c r="C3" s="62" t="s">
        <v>421</v>
      </c>
      <c r="D3" s="62" t="s">
        <v>3</v>
      </c>
      <c r="E3" s="62">
        <v>0</v>
      </c>
      <c r="F3" s="62">
        <v>50</v>
      </c>
      <c r="G3" s="62">
        <v>0</v>
      </c>
      <c r="H3" s="40">
        <f t="shared" ref="H3:H66" si="0">AVERAGE(E3:G3)</f>
        <v>16.666666666666668</v>
      </c>
    </row>
    <row r="4" spans="1:8" x14ac:dyDescent="0.2">
      <c r="A4" s="62">
        <v>39</v>
      </c>
      <c r="B4" s="62" t="s">
        <v>4</v>
      </c>
      <c r="C4" s="62" t="s">
        <v>495</v>
      </c>
      <c r="D4" s="62" t="s">
        <v>5</v>
      </c>
      <c r="E4" s="62">
        <v>0</v>
      </c>
      <c r="F4" s="62">
        <v>0</v>
      </c>
      <c r="G4" s="62">
        <v>0</v>
      </c>
      <c r="H4" s="40">
        <f t="shared" si="0"/>
        <v>0</v>
      </c>
    </row>
    <row r="5" spans="1:8" x14ac:dyDescent="0.2">
      <c r="A5" s="62">
        <v>49</v>
      </c>
      <c r="B5" s="62" t="s">
        <v>8</v>
      </c>
      <c r="C5" s="62" t="s">
        <v>422</v>
      </c>
      <c r="D5" s="62" t="s">
        <v>1</v>
      </c>
      <c r="E5" s="62">
        <v>0</v>
      </c>
      <c r="F5" s="62">
        <v>0</v>
      </c>
      <c r="G5" s="62">
        <v>0</v>
      </c>
      <c r="H5" s="40">
        <f t="shared" si="0"/>
        <v>0</v>
      </c>
    </row>
    <row r="6" spans="1:8" x14ac:dyDescent="0.2">
      <c r="A6" s="62">
        <v>52</v>
      </c>
      <c r="B6" s="62" t="s">
        <v>9</v>
      </c>
      <c r="C6" s="62" t="s">
        <v>421</v>
      </c>
      <c r="D6" s="62" t="s">
        <v>10</v>
      </c>
      <c r="E6" s="62">
        <v>0</v>
      </c>
      <c r="F6" s="62">
        <v>0</v>
      </c>
      <c r="G6" s="62">
        <v>0</v>
      </c>
      <c r="H6" s="40">
        <f t="shared" si="0"/>
        <v>0</v>
      </c>
    </row>
    <row r="7" spans="1:8" x14ac:dyDescent="0.2">
      <c r="A7" s="62">
        <v>57</v>
      </c>
      <c r="B7" s="62" t="s">
        <v>11</v>
      </c>
      <c r="C7" s="62" t="s">
        <v>495</v>
      </c>
      <c r="D7" s="62" t="s">
        <v>12</v>
      </c>
      <c r="E7" s="62">
        <v>100</v>
      </c>
      <c r="F7" s="62">
        <v>100</v>
      </c>
      <c r="G7" s="62">
        <v>0</v>
      </c>
      <c r="H7" s="40">
        <f t="shared" si="0"/>
        <v>66.666666666666671</v>
      </c>
    </row>
    <row r="8" spans="1:8" x14ac:dyDescent="0.2">
      <c r="A8" s="62">
        <v>64</v>
      </c>
      <c r="B8" s="62" t="s">
        <v>13</v>
      </c>
      <c r="C8" s="62" t="s">
        <v>496</v>
      </c>
      <c r="D8" s="62" t="s">
        <v>5</v>
      </c>
      <c r="E8" s="62">
        <v>0</v>
      </c>
      <c r="F8" s="62">
        <v>50</v>
      </c>
      <c r="G8" s="62">
        <v>0</v>
      </c>
      <c r="H8" s="40">
        <f t="shared" si="0"/>
        <v>16.666666666666668</v>
      </c>
    </row>
    <row r="9" spans="1:8" x14ac:dyDescent="0.2">
      <c r="A9" s="62">
        <v>72</v>
      </c>
      <c r="B9" s="62" t="s">
        <v>14</v>
      </c>
      <c r="C9" s="62" t="s">
        <v>497</v>
      </c>
      <c r="D9" s="62" t="s">
        <v>15</v>
      </c>
      <c r="E9" s="62">
        <v>100</v>
      </c>
      <c r="F9" s="62">
        <v>100</v>
      </c>
      <c r="G9" s="62">
        <v>100</v>
      </c>
      <c r="H9" s="40">
        <f t="shared" si="0"/>
        <v>100</v>
      </c>
    </row>
    <row r="10" spans="1:8" x14ac:dyDescent="0.2">
      <c r="A10" s="62">
        <v>73</v>
      </c>
      <c r="B10" s="62" t="s">
        <v>16</v>
      </c>
      <c r="C10" s="62" t="s">
        <v>421</v>
      </c>
      <c r="D10" s="62" t="s">
        <v>10</v>
      </c>
      <c r="E10" s="62">
        <v>0</v>
      </c>
      <c r="F10" s="62">
        <v>0</v>
      </c>
      <c r="G10" s="62">
        <v>0</v>
      </c>
      <c r="H10" s="40">
        <f t="shared" si="0"/>
        <v>0</v>
      </c>
    </row>
    <row r="11" spans="1:8" x14ac:dyDescent="0.2">
      <c r="A11" s="62">
        <v>74</v>
      </c>
      <c r="B11" s="62" t="s">
        <v>17</v>
      </c>
      <c r="C11" s="62" t="s">
        <v>495</v>
      </c>
      <c r="D11" s="62" t="s">
        <v>5</v>
      </c>
      <c r="E11" s="62">
        <v>0</v>
      </c>
      <c r="F11" s="62">
        <v>0</v>
      </c>
      <c r="G11" s="62">
        <v>0</v>
      </c>
      <c r="H11" s="40">
        <f t="shared" si="0"/>
        <v>0</v>
      </c>
    </row>
    <row r="12" spans="1:8" x14ac:dyDescent="0.2">
      <c r="A12" s="62">
        <v>79</v>
      </c>
      <c r="B12" s="62" t="s">
        <v>18</v>
      </c>
      <c r="C12" s="62" t="s">
        <v>422</v>
      </c>
      <c r="D12" s="62" t="s">
        <v>1</v>
      </c>
      <c r="E12" s="62">
        <v>0</v>
      </c>
      <c r="F12" s="62">
        <v>0</v>
      </c>
      <c r="G12" s="62">
        <v>0</v>
      </c>
      <c r="H12" s="40">
        <f t="shared" si="0"/>
        <v>0</v>
      </c>
    </row>
    <row r="13" spans="1:8" x14ac:dyDescent="0.2">
      <c r="A13" s="62">
        <v>81</v>
      </c>
      <c r="B13" s="62" t="s">
        <v>19</v>
      </c>
      <c r="C13" s="62" t="s">
        <v>432</v>
      </c>
      <c r="D13" s="62" t="s">
        <v>20</v>
      </c>
      <c r="E13" s="62">
        <v>0</v>
      </c>
      <c r="F13" s="62">
        <v>0</v>
      </c>
      <c r="G13" s="62">
        <v>100</v>
      </c>
      <c r="H13" s="40">
        <f t="shared" si="0"/>
        <v>33.333333333333336</v>
      </c>
    </row>
    <row r="14" spans="1:8" x14ac:dyDescent="0.2">
      <c r="A14" s="62">
        <v>86</v>
      </c>
      <c r="B14" s="62" t="s">
        <v>21</v>
      </c>
      <c r="C14" s="62" t="s">
        <v>429</v>
      </c>
      <c r="D14" s="62" t="s">
        <v>22</v>
      </c>
      <c r="E14" s="62">
        <v>50</v>
      </c>
      <c r="F14" s="62">
        <v>0</v>
      </c>
      <c r="G14" s="62">
        <v>0</v>
      </c>
      <c r="H14" s="40">
        <f t="shared" si="0"/>
        <v>16.666666666666668</v>
      </c>
    </row>
    <row r="15" spans="1:8" x14ac:dyDescent="0.2">
      <c r="A15" s="62">
        <v>88</v>
      </c>
      <c r="B15" s="62" t="s">
        <v>23</v>
      </c>
      <c r="C15" s="62" t="s">
        <v>495</v>
      </c>
      <c r="D15" s="62" t="s">
        <v>24</v>
      </c>
      <c r="E15" s="62">
        <v>0</v>
      </c>
      <c r="F15" s="62">
        <v>0</v>
      </c>
      <c r="G15" s="62">
        <v>0</v>
      </c>
      <c r="H15" s="40">
        <f t="shared" si="0"/>
        <v>0</v>
      </c>
    </row>
    <row r="16" spans="1:8" x14ac:dyDescent="0.2">
      <c r="A16" s="62">
        <v>96</v>
      </c>
      <c r="B16" s="62" t="s">
        <v>25</v>
      </c>
      <c r="C16" s="62" t="s">
        <v>429</v>
      </c>
      <c r="D16" s="62" t="s">
        <v>26</v>
      </c>
      <c r="E16" s="62">
        <v>0</v>
      </c>
      <c r="F16" s="62">
        <v>0</v>
      </c>
      <c r="G16" s="62">
        <v>50</v>
      </c>
      <c r="H16" s="40">
        <f t="shared" si="0"/>
        <v>16.666666666666668</v>
      </c>
    </row>
    <row r="17" spans="1:8" x14ac:dyDescent="0.2">
      <c r="A17" s="62">
        <v>102</v>
      </c>
      <c r="B17" s="62" t="s">
        <v>27</v>
      </c>
      <c r="C17" s="62" t="s">
        <v>495</v>
      </c>
      <c r="D17" s="62" t="s">
        <v>28</v>
      </c>
      <c r="E17" s="62">
        <v>100</v>
      </c>
      <c r="F17" s="62">
        <v>100</v>
      </c>
      <c r="G17" s="62">
        <v>100</v>
      </c>
      <c r="H17" s="40">
        <f t="shared" si="0"/>
        <v>100</v>
      </c>
    </row>
    <row r="18" spans="1:8" x14ac:dyDescent="0.2">
      <c r="A18" s="62">
        <v>104</v>
      </c>
      <c r="B18" s="62" t="s">
        <v>29</v>
      </c>
      <c r="C18" s="62" t="s">
        <v>431</v>
      </c>
      <c r="D18" s="62" t="s">
        <v>30</v>
      </c>
      <c r="E18" s="62">
        <v>0</v>
      </c>
      <c r="F18" s="62">
        <v>50</v>
      </c>
      <c r="G18" s="62">
        <v>0</v>
      </c>
      <c r="H18" s="40">
        <f t="shared" si="0"/>
        <v>16.666666666666668</v>
      </c>
    </row>
    <row r="19" spans="1:8" x14ac:dyDescent="0.2">
      <c r="A19" s="62">
        <v>107</v>
      </c>
      <c r="B19" s="62" t="s">
        <v>31</v>
      </c>
      <c r="C19" s="62" t="s">
        <v>495</v>
      </c>
      <c r="D19" s="62" t="s">
        <v>12</v>
      </c>
      <c r="E19" s="62">
        <v>100</v>
      </c>
      <c r="F19" s="62">
        <v>100</v>
      </c>
      <c r="G19" s="62">
        <v>50</v>
      </c>
      <c r="H19" s="40">
        <f t="shared" si="0"/>
        <v>83.333333333333329</v>
      </c>
    </row>
    <row r="20" spans="1:8" x14ac:dyDescent="0.2">
      <c r="A20" s="62">
        <v>108</v>
      </c>
      <c r="B20" s="62" t="s">
        <v>32</v>
      </c>
      <c r="C20" s="62" t="s">
        <v>495</v>
      </c>
      <c r="D20" s="62" t="s">
        <v>28</v>
      </c>
      <c r="E20" s="62">
        <v>0</v>
      </c>
      <c r="F20" s="62">
        <v>0</v>
      </c>
      <c r="G20" s="62">
        <v>0</v>
      </c>
      <c r="H20" s="40">
        <f t="shared" si="0"/>
        <v>0</v>
      </c>
    </row>
    <row r="21" spans="1:8" x14ac:dyDescent="0.2">
      <c r="A21" s="62">
        <v>109</v>
      </c>
      <c r="B21" s="62" t="s">
        <v>33</v>
      </c>
      <c r="C21" s="62" t="s">
        <v>421</v>
      </c>
      <c r="D21" s="62" t="s">
        <v>34</v>
      </c>
      <c r="E21" s="62">
        <v>0</v>
      </c>
      <c r="F21" s="62">
        <v>100</v>
      </c>
      <c r="G21" s="62">
        <v>0</v>
      </c>
      <c r="H21" s="40">
        <f>AVERAGE(E21:F21)</f>
        <v>50</v>
      </c>
    </row>
    <row r="22" spans="1:8" x14ac:dyDescent="0.2">
      <c r="A22" s="62">
        <v>112</v>
      </c>
      <c r="B22" s="62" t="s">
        <v>35</v>
      </c>
      <c r="C22" s="62" t="s">
        <v>496</v>
      </c>
      <c r="D22" s="62" t="s">
        <v>36</v>
      </c>
      <c r="E22" s="62">
        <v>0</v>
      </c>
      <c r="F22" s="62">
        <v>0</v>
      </c>
      <c r="G22" s="62">
        <v>0</v>
      </c>
      <c r="H22" s="40">
        <f t="shared" si="0"/>
        <v>0</v>
      </c>
    </row>
    <row r="23" spans="1:8" x14ac:dyDescent="0.2">
      <c r="A23" s="62">
        <v>113</v>
      </c>
      <c r="B23" s="62" t="s">
        <v>37</v>
      </c>
      <c r="C23" s="62" t="s">
        <v>424</v>
      </c>
      <c r="D23" s="62" t="s">
        <v>38</v>
      </c>
      <c r="E23" s="62">
        <v>100</v>
      </c>
      <c r="F23" s="62">
        <v>0</v>
      </c>
      <c r="G23" s="62">
        <v>100</v>
      </c>
      <c r="H23" s="40">
        <f t="shared" si="0"/>
        <v>66.666666666666671</v>
      </c>
    </row>
    <row r="24" spans="1:8" x14ac:dyDescent="0.2">
      <c r="A24" s="62">
        <v>120</v>
      </c>
      <c r="B24" s="62" t="s">
        <v>39</v>
      </c>
      <c r="C24" s="62" t="s">
        <v>421</v>
      </c>
      <c r="D24" s="62" t="s">
        <v>10</v>
      </c>
      <c r="E24" s="62">
        <v>0</v>
      </c>
      <c r="F24" s="62">
        <v>100</v>
      </c>
      <c r="G24" s="62">
        <v>0</v>
      </c>
      <c r="H24" s="40">
        <f t="shared" si="0"/>
        <v>33.333333333333336</v>
      </c>
    </row>
    <row r="25" spans="1:8" x14ac:dyDescent="0.2">
      <c r="A25" s="62">
        <v>123</v>
      </c>
      <c r="B25" s="62" t="s">
        <v>40</v>
      </c>
      <c r="C25" s="62" t="s">
        <v>422</v>
      </c>
      <c r="D25" s="62" t="s">
        <v>1</v>
      </c>
      <c r="E25" s="62">
        <v>0</v>
      </c>
      <c r="F25" s="62">
        <v>100</v>
      </c>
      <c r="G25" s="62">
        <v>0</v>
      </c>
      <c r="H25" s="40">
        <f t="shared" si="0"/>
        <v>33.333333333333336</v>
      </c>
    </row>
    <row r="26" spans="1:8" x14ac:dyDescent="0.2">
      <c r="A26" s="62">
        <v>124</v>
      </c>
      <c r="B26" s="62" t="s">
        <v>41</v>
      </c>
      <c r="C26" s="62" t="s">
        <v>432</v>
      </c>
      <c r="D26" s="62" t="s">
        <v>498</v>
      </c>
      <c r="E26" s="62">
        <v>100</v>
      </c>
      <c r="F26" s="62">
        <v>100</v>
      </c>
      <c r="G26" s="62">
        <v>100</v>
      </c>
      <c r="H26" s="40">
        <f t="shared" si="0"/>
        <v>100</v>
      </c>
    </row>
    <row r="27" spans="1:8" x14ac:dyDescent="0.2">
      <c r="A27" s="62">
        <v>125</v>
      </c>
      <c r="B27" s="62" t="s">
        <v>43</v>
      </c>
      <c r="C27" s="62" t="s">
        <v>424</v>
      </c>
      <c r="D27" s="62" t="s">
        <v>44</v>
      </c>
      <c r="E27" s="62">
        <v>100</v>
      </c>
      <c r="F27" s="62">
        <v>100</v>
      </c>
      <c r="G27" s="62">
        <v>100</v>
      </c>
      <c r="H27" s="40">
        <f t="shared" si="0"/>
        <v>100</v>
      </c>
    </row>
    <row r="28" spans="1:8" x14ac:dyDescent="0.2">
      <c r="A28" s="62">
        <v>129</v>
      </c>
      <c r="B28" s="62" t="s">
        <v>45</v>
      </c>
      <c r="C28" s="62" t="s">
        <v>429</v>
      </c>
      <c r="D28" s="62" t="s">
        <v>46</v>
      </c>
      <c r="E28" s="62">
        <v>100</v>
      </c>
      <c r="F28" s="62">
        <v>100</v>
      </c>
      <c r="G28" s="62">
        <v>50</v>
      </c>
      <c r="H28" s="40">
        <f t="shared" si="0"/>
        <v>83.333333333333329</v>
      </c>
    </row>
    <row r="29" spans="1:8" x14ac:dyDescent="0.2">
      <c r="A29" s="62">
        <v>131</v>
      </c>
      <c r="B29" s="62" t="s">
        <v>47</v>
      </c>
      <c r="C29" s="62" t="s">
        <v>421</v>
      </c>
      <c r="D29" s="62" t="s">
        <v>48</v>
      </c>
      <c r="E29" s="62">
        <v>100</v>
      </c>
      <c r="F29" s="62">
        <v>0</v>
      </c>
      <c r="G29" s="62">
        <v>0</v>
      </c>
      <c r="H29" s="40">
        <f>AVERAGE(E29:F29)</f>
        <v>50</v>
      </c>
    </row>
    <row r="30" spans="1:8" x14ac:dyDescent="0.2">
      <c r="A30" s="62">
        <v>135</v>
      </c>
      <c r="B30" s="62" t="s">
        <v>49</v>
      </c>
      <c r="C30" s="62" t="s">
        <v>424</v>
      </c>
      <c r="D30" s="62" t="s">
        <v>44</v>
      </c>
      <c r="E30" s="62">
        <v>100</v>
      </c>
      <c r="F30" s="62">
        <v>100</v>
      </c>
      <c r="G30" s="62">
        <v>0</v>
      </c>
      <c r="H30" s="40">
        <f t="shared" si="0"/>
        <v>66.666666666666671</v>
      </c>
    </row>
    <row r="31" spans="1:8" x14ac:dyDescent="0.2">
      <c r="A31" s="62">
        <v>138</v>
      </c>
      <c r="B31" s="62" t="s">
        <v>50</v>
      </c>
      <c r="C31" s="62" t="s">
        <v>429</v>
      </c>
      <c r="D31" s="62" t="s">
        <v>46</v>
      </c>
      <c r="E31" s="62">
        <v>0</v>
      </c>
      <c r="F31" s="62">
        <v>0</v>
      </c>
      <c r="G31" s="62">
        <v>0</v>
      </c>
      <c r="H31" s="40">
        <f t="shared" si="0"/>
        <v>0</v>
      </c>
    </row>
    <row r="32" spans="1:8" x14ac:dyDescent="0.2">
      <c r="A32" s="62">
        <v>146</v>
      </c>
      <c r="B32" s="62" t="s">
        <v>51</v>
      </c>
      <c r="C32" s="62" t="s">
        <v>429</v>
      </c>
      <c r="D32" s="62" t="s">
        <v>46</v>
      </c>
      <c r="E32" s="62">
        <v>0</v>
      </c>
      <c r="F32" s="62">
        <v>0</v>
      </c>
      <c r="G32" s="62">
        <v>0</v>
      </c>
      <c r="H32" s="40">
        <f t="shared" si="0"/>
        <v>0</v>
      </c>
    </row>
    <row r="33" spans="1:8" x14ac:dyDescent="0.2">
      <c r="A33" s="62">
        <v>149</v>
      </c>
      <c r="B33" s="62" t="s">
        <v>53</v>
      </c>
      <c r="C33" s="62" t="s">
        <v>422</v>
      </c>
      <c r="D33" s="62" t="s">
        <v>54</v>
      </c>
      <c r="E33" s="62">
        <v>0</v>
      </c>
      <c r="F33" s="62">
        <v>0</v>
      </c>
      <c r="G33" s="62">
        <v>0</v>
      </c>
      <c r="H33" s="40">
        <f t="shared" si="0"/>
        <v>0</v>
      </c>
    </row>
    <row r="34" spans="1:8" x14ac:dyDescent="0.2">
      <c r="A34" s="62">
        <v>153</v>
      </c>
      <c r="B34" s="62" t="s">
        <v>55</v>
      </c>
      <c r="C34" s="62" t="s">
        <v>431</v>
      </c>
      <c r="D34" s="62" t="s">
        <v>56</v>
      </c>
      <c r="E34" s="62">
        <v>0</v>
      </c>
      <c r="F34" s="62">
        <v>0</v>
      </c>
      <c r="G34" s="62">
        <v>0</v>
      </c>
      <c r="H34" s="40">
        <f t="shared" si="0"/>
        <v>0</v>
      </c>
    </row>
    <row r="35" spans="1:8" x14ac:dyDescent="0.2">
      <c r="A35" s="62">
        <v>165</v>
      </c>
      <c r="B35" s="62" t="s">
        <v>499</v>
      </c>
      <c r="C35" s="62" t="s">
        <v>422</v>
      </c>
      <c r="D35" s="62" t="s">
        <v>122</v>
      </c>
      <c r="E35" s="62">
        <v>100</v>
      </c>
      <c r="F35" s="62">
        <v>0</v>
      </c>
      <c r="G35" s="62">
        <v>50</v>
      </c>
      <c r="H35" s="40">
        <f t="shared" si="0"/>
        <v>50</v>
      </c>
    </row>
    <row r="36" spans="1:8" x14ac:dyDescent="0.2">
      <c r="A36" s="62">
        <v>171</v>
      </c>
      <c r="B36" s="62" t="s">
        <v>57</v>
      </c>
      <c r="C36" s="62" t="s">
        <v>422</v>
      </c>
      <c r="D36" s="62" t="s">
        <v>54</v>
      </c>
      <c r="E36" s="62">
        <v>0</v>
      </c>
      <c r="F36" s="62">
        <v>0</v>
      </c>
      <c r="G36" s="62">
        <v>0</v>
      </c>
      <c r="H36" s="40">
        <f t="shared" si="0"/>
        <v>0</v>
      </c>
    </row>
    <row r="37" spans="1:8" x14ac:dyDescent="0.2">
      <c r="A37" s="62">
        <v>215</v>
      </c>
      <c r="B37" s="62" t="s">
        <v>58</v>
      </c>
      <c r="C37" s="62" t="s">
        <v>421</v>
      </c>
      <c r="D37" s="62" t="s">
        <v>59</v>
      </c>
      <c r="E37" s="62">
        <v>50</v>
      </c>
      <c r="F37" s="62">
        <v>0</v>
      </c>
      <c r="G37" s="62">
        <v>0</v>
      </c>
      <c r="H37" s="40">
        <f t="shared" si="0"/>
        <v>16.666666666666668</v>
      </c>
    </row>
    <row r="38" spans="1:8" x14ac:dyDescent="0.2">
      <c r="A38" s="62">
        <v>218</v>
      </c>
      <c r="B38" s="62" t="s">
        <v>60</v>
      </c>
      <c r="C38" s="62" t="s">
        <v>421</v>
      </c>
      <c r="D38" s="62" t="s">
        <v>61</v>
      </c>
      <c r="E38" s="62">
        <v>100</v>
      </c>
      <c r="F38" s="62">
        <v>100</v>
      </c>
      <c r="G38" s="62">
        <v>100</v>
      </c>
      <c r="H38" s="40">
        <f t="shared" si="0"/>
        <v>100</v>
      </c>
    </row>
    <row r="39" spans="1:8" x14ac:dyDescent="0.2">
      <c r="A39" s="62">
        <v>219</v>
      </c>
      <c r="B39" s="62" t="s">
        <v>62</v>
      </c>
      <c r="C39" s="62" t="s">
        <v>421</v>
      </c>
      <c r="D39" s="62" t="s">
        <v>10</v>
      </c>
      <c r="E39" s="62">
        <v>0</v>
      </c>
      <c r="F39" s="62">
        <v>50</v>
      </c>
      <c r="G39" s="62">
        <v>0</v>
      </c>
      <c r="H39" s="40">
        <f t="shared" si="0"/>
        <v>16.666666666666668</v>
      </c>
    </row>
    <row r="40" spans="1:8" x14ac:dyDescent="0.2">
      <c r="A40" s="62">
        <v>225</v>
      </c>
      <c r="B40" s="62" t="s">
        <v>63</v>
      </c>
      <c r="C40" s="62" t="s">
        <v>421</v>
      </c>
      <c r="D40" s="62" t="s">
        <v>64</v>
      </c>
      <c r="E40" s="62">
        <v>100</v>
      </c>
      <c r="F40" s="62">
        <v>50</v>
      </c>
      <c r="G40" s="62">
        <v>0</v>
      </c>
      <c r="H40" s="40">
        <f>AVERAGE(E40:F40)</f>
        <v>75</v>
      </c>
    </row>
    <row r="41" spans="1:8" x14ac:dyDescent="0.2">
      <c r="A41" s="62">
        <v>227</v>
      </c>
      <c r="B41" s="62" t="s">
        <v>65</v>
      </c>
      <c r="C41" s="62" t="s">
        <v>421</v>
      </c>
      <c r="D41" s="62" t="s">
        <v>10</v>
      </c>
      <c r="E41" s="62">
        <v>50</v>
      </c>
      <c r="F41" s="62">
        <v>100</v>
      </c>
      <c r="G41" s="62">
        <v>0</v>
      </c>
      <c r="H41" s="40">
        <f t="shared" si="0"/>
        <v>50</v>
      </c>
    </row>
    <row r="42" spans="1:8" x14ac:dyDescent="0.2">
      <c r="A42" s="62">
        <v>230</v>
      </c>
      <c r="B42" s="62" t="s">
        <v>66</v>
      </c>
      <c r="C42" s="62" t="s">
        <v>431</v>
      </c>
      <c r="D42" s="62" t="s">
        <v>56</v>
      </c>
      <c r="E42" s="62">
        <v>0</v>
      </c>
      <c r="F42" s="62">
        <v>0</v>
      </c>
      <c r="G42" s="62">
        <v>0</v>
      </c>
      <c r="H42" s="40">
        <f t="shared" si="0"/>
        <v>0</v>
      </c>
    </row>
    <row r="43" spans="1:8" x14ac:dyDescent="0.2">
      <c r="A43" s="62">
        <v>231</v>
      </c>
      <c r="B43" s="62" t="s">
        <v>67</v>
      </c>
      <c r="C43" s="62" t="s">
        <v>421</v>
      </c>
      <c r="D43" s="62" t="s">
        <v>10</v>
      </c>
      <c r="E43" s="62">
        <v>100</v>
      </c>
      <c r="F43" s="62">
        <v>100</v>
      </c>
      <c r="G43" s="62">
        <v>0</v>
      </c>
      <c r="H43" s="40">
        <f t="shared" si="0"/>
        <v>66.666666666666671</v>
      </c>
    </row>
    <row r="44" spans="1:8" x14ac:dyDescent="0.2">
      <c r="A44" s="62">
        <v>239</v>
      </c>
      <c r="B44" s="62" t="s">
        <v>68</v>
      </c>
      <c r="C44" s="62" t="s">
        <v>500</v>
      </c>
      <c r="D44" s="62" t="s">
        <v>69</v>
      </c>
      <c r="E44" s="62">
        <v>100</v>
      </c>
      <c r="F44" s="62">
        <v>0</v>
      </c>
      <c r="G44" s="62">
        <v>0</v>
      </c>
      <c r="H44" s="40">
        <f t="shared" si="0"/>
        <v>33.333333333333336</v>
      </c>
    </row>
    <row r="45" spans="1:8" x14ac:dyDescent="0.2">
      <c r="A45" s="62">
        <v>248</v>
      </c>
      <c r="B45" s="62" t="s">
        <v>70</v>
      </c>
      <c r="C45" s="62" t="s">
        <v>421</v>
      </c>
      <c r="D45" s="62" t="s">
        <v>10</v>
      </c>
      <c r="E45" s="62">
        <v>0</v>
      </c>
      <c r="F45" s="62">
        <v>100</v>
      </c>
      <c r="G45" s="62">
        <v>0</v>
      </c>
      <c r="H45" s="40">
        <f t="shared" si="0"/>
        <v>33.333333333333336</v>
      </c>
    </row>
    <row r="46" spans="1:8" x14ac:dyDescent="0.2">
      <c r="A46" s="62">
        <v>253</v>
      </c>
      <c r="B46" s="62" t="s">
        <v>71</v>
      </c>
      <c r="C46" s="62" t="s">
        <v>421</v>
      </c>
      <c r="D46" s="62" t="s">
        <v>64</v>
      </c>
      <c r="E46" s="62">
        <v>50</v>
      </c>
      <c r="F46" s="62">
        <v>0</v>
      </c>
      <c r="G46" s="62">
        <v>0</v>
      </c>
      <c r="H46" s="40">
        <f t="shared" si="0"/>
        <v>16.666666666666668</v>
      </c>
    </row>
    <row r="47" spans="1:8" x14ac:dyDescent="0.2">
      <c r="A47" s="62">
        <v>254</v>
      </c>
      <c r="B47" s="62" t="s">
        <v>72</v>
      </c>
      <c r="C47" s="62" t="s">
        <v>421</v>
      </c>
      <c r="D47" s="62" t="s">
        <v>59</v>
      </c>
      <c r="E47" s="62">
        <v>0</v>
      </c>
      <c r="F47" s="62">
        <v>0</v>
      </c>
      <c r="G47" s="62">
        <v>100</v>
      </c>
      <c r="H47" s="40">
        <f t="shared" si="0"/>
        <v>33.333333333333336</v>
      </c>
    </row>
    <row r="48" spans="1:8" x14ac:dyDescent="0.2">
      <c r="A48" s="62">
        <v>261</v>
      </c>
      <c r="B48" s="62" t="s">
        <v>73</v>
      </c>
      <c r="C48" s="62" t="s">
        <v>424</v>
      </c>
      <c r="D48" s="62" t="s">
        <v>74</v>
      </c>
      <c r="E48" s="62">
        <v>0</v>
      </c>
      <c r="F48" s="62">
        <v>50</v>
      </c>
      <c r="G48" s="62">
        <v>0</v>
      </c>
      <c r="H48" s="40">
        <f t="shared" si="0"/>
        <v>16.666666666666668</v>
      </c>
    </row>
    <row r="49" spans="1:8" x14ac:dyDescent="0.2">
      <c r="A49" s="62">
        <v>276</v>
      </c>
      <c r="B49" s="62" t="s">
        <v>77</v>
      </c>
      <c r="C49" s="62" t="s">
        <v>500</v>
      </c>
      <c r="D49" s="62" t="s">
        <v>69</v>
      </c>
      <c r="E49" s="62">
        <v>0</v>
      </c>
      <c r="F49" s="62">
        <v>0</v>
      </c>
      <c r="G49" s="62">
        <v>100</v>
      </c>
      <c r="H49" s="40">
        <f t="shared" si="0"/>
        <v>33.333333333333336</v>
      </c>
    </row>
    <row r="50" spans="1:8" x14ac:dyDescent="0.2">
      <c r="A50" s="62">
        <v>279</v>
      </c>
      <c r="B50" s="62" t="s">
        <v>78</v>
      </c>
      <c r="C50" s="62" t="s">
        <v>421</v>
      </c>
      <c r="D50" s="62" t="s">
        <v>48</v>
      </c>
      <c r="E50" s="62">
        <v>0</v>
      </c>
      <c r="F50" s="62">
        <v>0</v>
      </c>
      <c r="G50" s="62">
        <v>0</v>
      </c>
      <c r="H50" s="40">
        <f t="shared" si="0"/>
        <v>0</v>
      </c>
    </row>
    <row r="51" spans="1:8" x14ac:dyDescent="0.2">
      <c r="A51" s="62">
        <v>300</v>
      </c>
      <c r="B51" s="62" t="s">
        <v>79</v>
      </c>
      <c r="C51" s="62" t="s">
        <v>421</v>
      </c>
      <c r="D51" s="62" t="s">
        <v>48</v>
      </c>
      <c r="E51" s="62">
        <v>50</v>
      </c>
      <c r="F51" s="62">
        <v>100</v>
      </c>
      <c r="G51" s="62">
        <v>50</v>
      </c>
      <c r="H51" s="40">
        <f t="shared" si="0"/>
        <v>66.666666666666671</v>
      </c>
    </row>
    <row r="52" spans="1:8" x14ac:dyDescent="0.2">
      <c r="A52" s="62">
        <v>309</v>
      </c>
      <c r="B52" s="62" t="s">
        <v>80</v>
      </c>
      <c r="C52" s="62" t="s">
        <v>422</v>
      </c>
      <c r="D52" s="62" t="s">
        <v>54</v>
      </c>
      <c r="E52" s="62">
        <v>0</v>
      </c>
      <c r="F52" s="62">
        <v>0</v>
      </c>
      <c r="G52" s="62">
        <v>0</v>
      </c>
      <c r="H52" s="40">
        <f t="shared" si="0"/>
        <v>0</v>
      </c>
    </row>
    <row r="53" spans="1:8" x14ac:dyDescent="0.2">
      <c r="A53" s="62">
        <v>315</v>
      </c>
      <c r="B53" s="62" t="s">
        <v>81</v>
      </c>
      <c r="C53" s="62" t="s">
        <v>421</v>
      </c>
      <c r="D53" s="62" t="s">
        <v>10</v>
      </c>
      <c r="E53" s="62">
        <v>100</v>
      </c>
      <c r="F53" s="62">
        <v>100</v>
      </c>
      <c r="G53" s="62">
        <v>100</v>
      </c>
      <c r="H53" s="40">
        <f t="shared" si="0"/>
        <v>100</v>
      </c>
    </row>
    <row r="54" spans="1:8" x14ac:dyDescent="0.2">
      <c r="A54" s="62">
        <v>317</v>
      </c>
      <c r="B54" s="62" t="s">
        <v>82</v>
      </c>
      <c r="C54" s="62" t="s">
        <v>495</v>
      </c>
      <c r="D54" s="62" t="s">
        <v>28</v>
      </c>
      <c r="E54" s="62">
        <v>0</v>
      </c>
      <c r="F54" s="62">
        <v>100</v>
      </c>
      <c r="G54" s="62">
        <v>0</v>
      </c>
      <c r="H54" s="40">
        <f t="shared" si="0"/>
        <v>33.333333333333336</v>
      </c>
    </row>
    <row r="55" spans="1:8" x14ac:dyDescent="0.2">
      <c r="A55" s="62">
        <v>319</v>
      </c>
      <c r="B55" s="62" t="s">
        <v>83</v>
      </c>
      <c r="C55" s="62" t="s">
        <v>421</v>
      </c>
      <c r="D55" s="62" t="s">
        <v>59</v>
      </c>
      <c r="E55" s="62">
        <v>0</v>
      </c>
      <c r="F55" s="62">
        <v>0</v>
      </c>
      <c r="G55" s="62">
        <v>0</v>
      </c>
      <c r="H55" s="40">
        <f t="shared" si="0"/>
        <v>0</v>
      </c>
    </row>
    <row r="56" spans="1:8" x14ac:dyDescent="0.2">
      <c r="A56" s="62">
        <v>329</v>
      </c>
      <c r="B56" s="62" t="s">
        <v>84</v>
      </c>
      <c r="C56" s="62" t="s">
        <v>421</v>
      </c>
      <c r="D56" s="62" t="s">
        <v>48</v>
      </c>
      <c r="E56" s="62">
        <v>100</v>
      </c>
      <c r="F56" s="62">
        <v>0</v>
      </c>
      <c r="G56" s="62">
        <v>0</v>
      </c>
      <c r="H56" s="40">
        <f t="shared" si="0"/>
        <v>33.333333333333336</v>
      </c>
    </row>
    <row r="57" spans="1:8" x14ac:dyDescent="0.2">
      <c r="A57" s="62">
        <v>340</v>
      </c>
      <c r="B57" s="62" t="s">
        <v>85</v>
      </c>
      <c r="C57" s="62" t="s">
        <v>421</v>
      </c>
      <c r="D57" s="62" t="s">
        <v>86</v>
      </c>
      <c r="E57" s="62">
        <v>0</v>
      </c>
      <c r="F57" s="62">
        <v>100</v>
      </c>
      <c r="G57" s="62">
        <v>50</v>
      </c>
      <c r="H57" s="40">
        <f t="shared" si="0"/>
        <v>50</v>
      </c>
    </row>
    <row r="58" spans="1:8" x14ac:dyDescent="0.2">
      <c r="A58" s="62">
        <v>354</v>
      </c>
      <c r="B58" s="62" t="s">
        <v>87</v>
      </c>
      <c r="C58" s="62" t="s">
        <v>421</v>
      </c>
      <c r="D58" s="62" t="s">
        <v>10</v>
      </c>
      <c r="E58" s="62">
        <v>0</v>
      </c>
      <c r="F58" s="62">
        <v>100</v>
      </c>
      <c r="G58" s="62">
        <v>0</v>
      </c>
      <c r="H58" s="40">
        <f t="shared" si="0"/>
        <v>33.333333333333336</v>
      </c>
    </row>
    <row r="59" spans="1:8" x14ac:dyDescent="0.2">
      <c r="A59" s="62">
        <v>380</v>
      </c>
      <c r="B59" s="62" t="s">
        <v>88</v>
      </c>
      <c r="C59" s="62" t="s">
        <v>421</v>
      </c>
      <c r="D59" s="62" t="s">
        <v>10</v>
      </c>
      <c r="E59" s="62">
        <v>0</v>
      </c>
      <c r="F59" s="62">
        <v>0</v>
      </c>
      <c r="G59" s="62">
        <v>0</v>
      </c>
      <c r="H59" s="40">
        <f t="shared" si="0"/>
        <v>0</v>
      </c>
    </row>
    <row r="60" spans="1:8" x14ac:dyDescent="0.2">
      <c r="A60" s="62">
        <v>387</v>
      </c>
      <c r="B60" s="62" t="s">
        <v>89</v>
      </c>
      <c r="C60" s="62" t="s">
        <v>422</v>
      </c>
      <c r="D60" s="62" t="s">
        <v>90</v>
      </c>
      <c r="E60" s="62">
        <v>0</v>
      </c>
      <c r="F60" s="62">
        <v>0</v>
      </c>
      <c r="G60" s="62">
        <v>0</v>
      </c>
      <c r="H60" s="40">
        <f t="shared" si="0"/>
        <v>0</v>
      </c>
    </row>
    <row r="61" spans="1:8" x14ac:dyDescent="0.2">
      <c r="A61" s="62">
        <v>417</v>
      </c>
      <c r="B61" s="62" t="s">
        <v>91</v>
      </c>
      <c r="C61" s="62" t="s">
        <v>422</v>
      </c>
      <c r="D61" s="62" t="s">
        <v>54</v>
      </c>
      <c r="E61" s="62">
        <v>0</v>
      </c>
      <c r="F61" s="62">
        <v>0</v>
      </c>
      <c r="G61" s="62">
        <v>0</v>
      </c>
      <c r="H61" s="40">
        <f t="shared" si="0"/>
        <v>0</v>
      </c>
    </row>
    <row r="62" spans="1:8" x14ac:dyDescent="0.2">
      <c r="A62" s="62">
        <v>421</v>
      </c>
      <c r="B62" s="62" t="s">
        <v>92</v>
      </c>
      <c r="C62" s="62" t="s">
        <v>421</v>
      </c>
      <c r="D62" s="62" t="s">
        <v>64</v>
      </c>
      <c r="E62" s="62">
        <v>0</v>
      </c>
      <c r="F62" s="62">
        <v>0</v>
      </c>
      <c r="G62" s="62">
        <v>0</v>
      </c>
      <c r="H62" s="40">
        <f t="shared" si="0"/>
        <v>0</v>
      </c>
    </row>
    <row r="63" spans="1:8" x14ac:dyDescent="0.2">
      <c r="A63" s="62">
        <v>1767</v>
      </c>
      <c r="B63" s="62" t="s">
        <v>93</v>
      </c>
      <c r="C63" s="62" t="s">
        <v>421</v>
      </c>
      <c r="D63" s="62" t="s">
        <v>59</v>
      </c>
      <c r="E63" s="62">
        <v>0</v>
      </c>
      <c r="F63" s="62">
        <v>0</v>
      </c>
      <c r="G63" s="62">
        <v>0</v>
      </c>
      <c r="H63" s="40">
        <f t="shared" si="0"/>
        <v>0</v>
      </c>
    </row>
    <row r="64" spans="1:8" x14ac:dyDescent="0.2">
      <c r="A64" s="62">
        <v>1769</v>
      </c>
      <c r="B64" s="62" t="s">
        <v>94</v>
      </c>
      <c r="C64" s="62" t="s">
        <v>496</v>
      </c>
      <c r="D64" s="62" t="s">
        <v>95</v>
      </c>
      <c r="E64" s="62">
        <v>0</v>
      </c>
      <c r="F64" s="62">
        <v>0</v>
      </c>
      <c r="G64" s="62">
        <v>50</v>
      </c>
      <c r="H64" s="40">
        <f t="shared" si="0"/>
        <v>16.666666666666668</v>
      </c>
    </row>
    <row r="65" spans="1:8" x14ac:dyDescent="0.2">
      <c r="A65" s="62">
        <v>1798</v>
      </c>
      <c r="B65" s="62" t="s">
        <v>96</v>
      </c>
      <c r="C65" s="62" t="s">
        <v>421</v>
      </c>
      <c r="D65" s="62" t="s">
        <v>10</v>
      </c>
      <c r="E65" s="62">
        <v>0</v>
      </c>
      <c r="F65" s="62">
        <v>0</v>
      </c>
      <c r="G65" s="62">
        <v>50</v>
      </c>
      <c r="H65" s="40">
        <f t="shared" si="0"/>
        <v>16.666666666666668</v>
      </c>
    </row>
    <row r="66" spans="1:8" x14ac:dyDescent="0.2">
      <c r="A66" s="62">
        <v>1848</v>
      </c>
      <c r="B66" s="62" t="s">
        <v>97</v>
      </c>
      <c r="C66" s="62" t="s">
        <v>421</v>
      </c>
      <c r="D66" s="62" t="s">
        <v>86</v>
      </c>
      <c r="E66" s="62">
        <v>50</v>
      </c>
      <c r="F66" s="62">
        <v>100</v>
      </c>
      <c r="G66" s="62">
        <v>50</v>
      </c>
      <c r="H66" s="40">
        <f t="shared" si="0"/>
        <v>66.666666666666671</v>
      </c>
    </row>
    <row r="67" spans="1:8" x14ac:dyDescent="0.2">
      <c r="A67" s="62">
        <v>1849</v>
      </c>
      <c r="B67" s="62" t="s">
        <v>98</v>
      </c>
      <c r="C67" s="62" t="s">
        <v>421</v>
      </c>
      <c r="D67" s="62" t="s">
        <v>99</v>
      </c>
      <c r="E67" s="62">
        <v>100</v>
      </c>
      <c r="F67" s="62">
        <v>100</v>
      </c>
      <c r="G67" s="62">
        <v>0</v>
      </c>
      <c r="H67" s="40">
        <f t="shared" ref="H67:H130" si="1">AVERAGE(E67:G67)</f>
        <v>66.666666666666671</v>
      </c>
    </row>
    <row r="68" spans="1:8" x14ac:dyDescent="0.2">
      <c r="A68" s="62">
        <v>1891</v>
      </c>
      <c r="B68" s="62" t="s">
        <v>100</v>
      </c>
      <c r="C68" s="62" t="s">
        <v>422</v>
      </c>
      <c r="D68" s="62" t="s">
        <v>54</v>
      </c>
      <c r="E68" s="62">
        <v>0</v>
      </c>
      <c r="F68" s="62">
        <v>0</v>
      </c>
      <c r="G68" s="62">
        <v>0</v>
      </c>
      <c r="H68" s="40">
        <f t="shared" si="1"/>
        <v>0</v>
      </c>
    </row>
    <row r="69" spans="1:8" x14ac:dyDescent="0.2">
      <c r="A69" s="62">
        <v>1894</v>
      </c>
      <c r="B69" s="62" t="s">
        <v>101</v>
      </c>
      <c r="C69" s="62" t="s">
        <v>496</v>
      </c>
      <c r="D69" s="62" t="s">
        <v>102</v>
      </c>
      <c r="E69" s="62">
        <v>0</v>
      </c>
      <c r="F69" s="62">
        <v>0</v>
      </c>
      <c r="G69" s="62">
        <v>0</v>
      </c>
      <c r="H69" s="40">
        <f t="shared" si="1"/>
        <v>0</v>
      </c>
    </row>
    <row r="70" spans="1:8" x14ac:dyDescent="0.2">
      <c r="A70" s="62">
        <v>1899</v>
      </c>
      <c r="B70" s="62" t="s">
        <v>103</v>
      </c>
      <c r="C70" s="62" t="s">
        <v>500</v>
      </c>
      <c r="D70" s="62" t="s">
        <v>104</v>
      </c>
      <c r="E70" s="62">
        <v>0</v>
      </c>
      <c r="F70" s="62">
        <v>0</v>
      </c>
      <c r="G70" s="62">
        <v>50</v>
      </c>
      <c r="H70" s="40">
        <f t="shared" si="1"/>
        <v>16.666666666666668</v>
      </c>
    </row>
    <row r="71" spans="1:8" x14ac:dyDescent="0.2">
      <c r="A71" s="62">
        <v>1937</v>
      </c>
      <c r="B71" s="62" t="s">
        <v>105</v>
      </c>
      <c r="C71" s="62" t="s">
        <v>431</v>
      </c>
      <c r="D71" s="62" t="s">
        <v>106</v>
      </c>
      <c r="E71" s="62">
        <v>0</v>
      </c>
      <c r="F71" s="62">
        <v>0</v>
      </c>
      <c r="G71" s="62">
        <v>100</v>
      </c>
      <c r="H71" s="40">
        <f t="shared" si="1"/>
        <v>33.333333333333336</v>
      </c>
    </row>
    <row r="72" spans="1:8" x14ac:dyDescent="0.2">
      <c r="A72" s="62">
        <v>1991</v>
      </c>
      <c r="B72" s="62" t="s">
        <v>107</v>
      </c>
      <c r="C72" s="62" t="s">
        <v>431</v>
      </c>
      <c r="D72" s="62" t="s">
        <v>106</v>
      </c>
      <c r="E72" s="62">
        <v>0</v>
      </c>
      <c r="F72" s="62">
        <v>0</v>
      </c>
      <c r="G72" s="62">
        <v>0</v>
      </c>
      <c r="H72" s="40">
        <f t="shared" si="1"/>
        <v>0</v>
      </c>
    </row>
    <row r="73" spans="1:8" x14ac:dyDescent="0.2">
      <c r="A73" s="62">
        <v>1999</v>
      </c>
      <c r="B73" s="62" t="s">
        <v>108</v>
      </c>
      <c r="C73" s="62" t="s">
        <v>497</v>
      </c>
      <c r="D73" s="62" t="s">
        <v>109</v>
      </c>
      <c r="E73" s="62">
        <v>0</v>
      </c>
      <c r="F73" s="62">
        <v>100</v>
      </c>
      <c r="G73" s="62">
        <v>0</v>
      </c>
      <c r="H73" s="40">
        <f t="shared" si="1"/>
        <v>33.333333333333336</v>
      </c>
    </row>
    <row r="74" spans="1:8" x14ac:dyDescent="0.2">
      <c r="A74" s="62">
        <v>2008</v>
      </c>
      <c r="B74" s="62" t="s">
        <v>110</v>
      </c>
      <c r="C74" s="62" t="s">
        <v>421</v>
      </c>
      <c r="D74" s="62" t="s">
        <v>86</v>
      </c>
      <c r="E74" s="62">
        <v>0</v>
      </c>
      <c r="F74" s="62">
        <v>0</v>
      </c>
      <c r="G74" s="62">
        <v>0</v>
      </c>
      <c r="H74" s="40">
        <f t="shared" si="1"/>
        <v>0</v>
      </c>
    </row>
    <row r="75" spans="1:8" x14ac:dyDescent="0.2">
      <c r="A75" s="62">
        <v>2041</v>
      </c>
      <c r="B75" s="62" t="s">
        <v>111</v>
      </c>
      <c r="C75" s="62" t="s">
        <v>421</v>
      </c>
      <c r="D75" s="62" t="s">
        <v>99</v>
      </c>
      <c r="E75" s="62">
        <v>0</v>
      </c>
      <c r="F75" s="62">
        <v>100</v>
      </c>
      <c r="G75" s="62">
        <v>100</v>
      </c>
      <c r="H75" s="40">
        <f t="shared" si="1"/>
        <v>66.666666666666671</v>
      </c>
    </row>
    <row r="76" spans="1:8" x14ac:dyDescent="0.2">
      <c r="A76" s="62">
        <v>2062</v>
      </c>
      <c r="B76" s="62" t="s">
        <v>112</v>
      </c>
      <c r="C76" s="62" t="s">
        <v>431</v>
      </c>
      <c r="D76" s="62" t="s">
        <v>56</v>
      </c>
      <c r="E76" s="62">
        <v>0</v>
      </c>
      <c r="F76" s="62">
        <v>0</v>
      </c>
      <c r="G76" s="62">
        <v>0</v>
      </c>
      <c r="H76" s="40">
        <f t="shared" si="1"/>
        <v>0</v>
      </c>
    </row>
    <row r="77" spans="1:8" x14ac:dyDescent="0.2">
      <c r="A77" s="62">
        <v>2138</v>
      </c>
      <c r="B77" s="62" t="s">
        <v>113</v>
      </c>
      <c r="C77" s="62" t="s">
        <v>429</v>
      </c>
      <c r="D77" s="62" t="s">
        <v>22</v>
      </c>
      <c r="E77" s="62">
        <v>0</v>
      </c>
      <c r="F77" s="62">
        <v>0</v>
      </c>
      <c r="G77" s="62">
        <v>0</v>
      </c>
      <c r="H77" s="40">
        <f t="shared" si="1"/>
        <v>0</v>
      </c>
    </row>
    <row r="78" spans="1:8" x14ac:dyDescent="0.2">
      <c r="A78" s="62">
        <v>2154</v>
      </c>
      <c r="B78" s="62" t="s">
        <v>114</v>
      </c>
      <c r="C78" s="62" t="s">
        <v>422</v>
      </c>
      <c r="D78" s="62" t="s">
        <v>90</v>
      </c>
      <c r="E78" s="62">
        <v>0</v>
      </c>
      <c r="F78" s="62">
        <v>0</v>
      </c>
      <c r="G78" s="62">
        <v>0</v>
      </c>
      <c r="H78" s="40">
        <f t="shared" si="1"/>
        <v>0</v>
      </c>
    </row>
    <row r="79" spans="1:8" x14ac:dyDescent="0.2">
      <c r="A79" s="62">
        <v>2190</v>
      </c>
      <c r="B79" s="62" t="s">
        <v>115</v>
      </c>
      <c r="C79" s="62" t="s">
        <v>421</v>
      </c>
      <c r="D79" s="62" t="s">
        <v>10</v>
      </c>
      <c r="E79" s="62">
        <v>0</v>
      </c>
      <c r="F79" s="62">
        <v>0</v>
      </c>
      <c r="G79" s="62">
        <v>0</v>
      </c>
      <c r="H79" s="40">
        <f t="shared" si="1"/>
        <v>0</v>
      </c>
    </row>
    <row r="80" spans="1:8" x14ac:dyDescent="0.2">
      <c r="A80" s="62">
        <v>2280</v>
      </c>
      <c r="B80" s="62" t="s">
        <v>117</v>
      </c>
      <c r="C80" s="62" t="s">
        <v>421</v>
      </c>
      <c r="D80" s="62" t="s">
        <v>10</v>
      </c>
      <c r="E80" s="62">
        <v>0</v>
      </c>
      <c r="F80" s="62">
        <v>0</v>
      </c>
      <c r="G80" s="62">
        <v>50</v>
      </c>
      <c r="H80" s="40">
        <f t="shared" si="1"/>
        <v>16.666666666666668</v>
      </c>
    </row>
    <row r="81" spans="1:8" x14ac:dyDescent="0.2">
      <c r="A81" s="62">
        <v>2304</v>
      </c>
      <c r="B81" s="62" t="s">
        <v>118</v>
      </c>
      <c r="C81" s="62" t="s">
        <v>421</v>
      </c>
      <c r="D81" s="62" t="s">
        <v>61</v>
      </c>
      <c r="E81" s="62">
        <v>0</v>
      </c>
      <c r="F81" s="62">
        <v>0</v>
      </c>
      <c r="G81" s="62">
        <v>0</v>
      </c>
      <c r="H81" s="40">
        <f t="shared" si="1"/>
        <v>0</v>
      </c>
    </row>
    <row r="82" spans="1:8" x14ac:dyDescent="0.2">
      <c r="A82" s="62">
        <v>2345</v>
      </c>
      <c r="B82" s="62" t="s">
        <v>119</v>
      </c>
      <c r="C82" s="62" t="s">
        <v>431</v>
      </c>
      <c r="D82" s="62" t="s">
        <v>56</v>
      </c>
      <c r="E82" s="62">
        <v>0</v>
      </c>
      <c r="F82" s="62">
        <v>0</v>
      </c>
      <c r="G82" s="62">
        <v>0</v>
      </c>
      <c r="H82" s="40">
        <f t="shared" si="1"/>
        <v>0</v>
      </c>
    </row>
    <row r="83" spans="1:8" x14ac:dyDescent="0.2">
      <c r="A83" s="62">
        <v>2376</v>
      </c>
      <c r="B83" s="62" t="s">
        <v>120</v>
      </c>
      <c r="C83" s="62" t="s">
        <v>421</v>
      </c>
      <c r="D83" s="62" t="s">
        <v>10</v>
      </c>
      <c r="E83" s="62">
        <v>0</v>
      </c>
      <c r="F83" s="62">
        <v>0</v>
      </c>
      <c r="G83" s="62">
        <v>0</v>
      </c>
      <c r="H83" s="40">
        <f t="shared" si="1"/>
        <v>0</v>
      </c>
    </row>
    <row r="84" spans="1:8" x14ac:dyDescent="0.2">
      <c r="A84" s="62">
        <v>2437</v>
      </c>
      <c r="B84" s="62" t="s">
        <v>121</v>
      </c>
      <c r="C84" s="62" t="s">
        <v>422</v>
      </c>
      <c r="D84" s="62" t="s">
        <v>122</v>
      </c>
      <c r="E84" s="62">
        <v>0</v>
      </c>
      <c r="F84" s="62">
        <v>50</v>
      </c>
      <c r="G84" s="62">
        <v>100</v>
      </c>
      <c r="H84" s="40">
        <f t="shared" si="1"/>
        <v>50</v>
      </c>
    </row>
    <row r="85" spans="1:8" x14ac:dyDescent="0.2">
      <c r="A85" s="62">
        <v>2462</v>
      </c>
      <c r="B85" s="62" t="s">
        <v>123</v>
      </c>
      <c r="C85" s="62" t="s">
        <v>421</v>
      </c>
      <c r="D85" s="62" t="s">
        <v>86</v>
      </c>
      <c r="E85" s="62">
        <v>0</v>
      </c>
      <c r="F85" s="62">
        <v>100</v>
      </c>
      <c r="G85" s="62">
        <v>100</v>
      </c>
      <c r="H85" s="40">
        <f t="shared" si="1"/>
        <v>66.666666666666671</v>
      </c>
    </row>
    <row r="86" spans="1:8" x14ac:dyDescent="0.2">
      <c r="A86" s="62">
        <v>2542</v>
      </c>
      <c r="B86" s="62" t="s">
        <v>124</v>
      </c>
      <c r="C86" s="62" t="s">
        <v>431</v>
      </c>
      <c r="D86" s="62" t="s">
        <v>125</v>
      </c>
      <c r="E86" s="62">
        <v>0</v>
      </c>
      <c r="F86" s="62">
        <v>0</v>
      </c>
      <c r="G86" s="62">
        <v>0</v>
      </c>
      <c r="H86" s="40">
        <f t="shared" si="1"/>
        <v>0</v>
      </c>
    </row>
    <row r="87" spans="1:8" x14ac:dyDescent="0.2">
      <c r="A87" s="62">
        <v>2556</v>
      </c>
      <c r="B87" s="62" t="s">
        <v>126</v>
      </c>
      <c r="C87" s="62" t="s">
        <v>424</v>
      </c>
      <c r="D87" s="62" t="s">
        <v>127</v>
      </c>
      <c r="E87" s="62">
        <v>100</v>
      </c>
      <c r="F87" s="62">
        <v>100</v>
      </c>
      <c r="G87" s="62">
        <v>100</v>
      </c>
      <c r="H87" s="40">
        <f t="shared" si="1"/>
        <v>100</v>
      </c>
    </row>
    <row r="88" spans="1:8" x14ac:dyDescent="0.2">
      <c r="A88" s="62">
        <v>2628</v>
      </c>
      <c r="B88" s="62" t="s">
        <v>128</v>
      </c>
      <c r="C88" s="62" t="s">
        <v>422</v>
      </c>
      <c r="D88" s="62" t="s">
        <v>90</v>
      </c>
      <c r="E88" s="62">
        <v>0</v>
      </c>
      <c r="F88" s="62">
        <v>0</v>
      </c>
      <c r="G88" s="62">
        <v>100</v>
      </c>
      <c r="H88" s="40">
        <f t="shared" si="1"/>
        <v>33.333333333333336</v>
      </c>
    </row>
    <row r="89" spans="1:8" x14ac:dyDescent="0.2">
      <c r="A89" s="62">
        <v>2629</v>
      </c>
      <c r="B89" s="62" t="s">
        <v>129</v>
      </c>
      <c r="C89" s="62" t="s">
        <v>421</v>
      </c>
      <c r="D89" s="62" t="s">
        <v>99</v>
      </c>
      <c r="E89" s="62">
        <v>0</v>
      </c>
      <c r="F89" s="62">
        <v>100</v>
      </c>
      <c r="G89" s="62">
        <v>100</v>
      </c>
      <c r="H89" s="40">
        <f t="shared" si="1"/>
        <v>66.666666666666671</v>
      </c>
    </row>
    <row r="90" spans="1:8" x14ac:dyDescent="0.2">
      <c r="A90" s="62">
        <v>2635</v>
      </c>
      <c r="B90" s="62" t="s">
        <v>130</v>
      </c>
      <c r="C90" s="62" t="s">
        <v>429</v>
      </c>
      <c r="D90" s="62" t="s">
        <v>46</v>
      </c>
      <c r="E90" s="62">
        <v>100</v>
      </c>
      <c r="F90" s="62">
        <v>0</v>
      </c>
      <c r="G90" s="62">
        <v>0</v>
      </c>
      <c r="H90" s="40">
        <f t="shared" si="1"/>
        <v>33.333333333333336</v>
      </c>
    </row>
    <row r="91" spans="1:8" x14ac:dyDescent="0.2">
      <c r="A91" s="62">
        <v>2696</v>
      </c>
      <c r="B91" s="62" t="s">
        <v>131</v>
      </c>
      <c r="C91" s="62" t="s">
        <v>429</v>
      </c>
      <c r="D91" s="62" t="s">
        <v>26</v>
      </c>
      <c r="E91" s="62">
        <v>50</v>
      </c>
      <c r="F91" s="62">
        <v>50</v>
      </c>
      <c r="G91" s="62">
        <v>0</v>
      </c>
      <c r="H91" s="40">
        <f t="shared" si="1"/>
        <v>33.333333333333336</v>
      </c>
    </row>
    <row r="92" spans="1:8" x14ac:dyDescent="0.2">
      <c r="A92" s="62">
        <v>2815</v>
      </c>
      <c r="B92" s="62" t="s">
        <v>132</v>
      </c>
      <c r="C92" s="62" t="s">
        <v>421</v>
      </c>
      <c r="D92" s="62" t="s">
        <v>61</v>
      </c>
      <c r="E92" s="62">
        <v>0</v>
      </c>
      <c r="F92" s="62">
        <v>100</v>
      </c>
      <c r="G92" s="62">
        <v>100</v>
      </c>
      <c r="H92" s="40">
        <f t="shared" si="1"/>
        <v>66.666666666666671</v>
      </c>
    </row>
    <row r="93" spans="1:8" x14ac:dyDescent="0.2">
      <c r="A93" s="62">
        <v>2865</v>
      </c>
      <c r="B93" s="62" t="s">
        <v>133</v>
      </c>
      <c r="C93" s="62" t="s">
        <v>421</v>
      </c>
      <c r="D93" s="62" t="s">
        <v>10</v>
      </c>
      <c r="E93" s="62">
        <v>0</v>
      </c>
      <c r="F93" s="62">
        <v>100</v>
      </c>
      <c r="G93" s="62">
        <v>0</v>
      </c>
      <c r="H93" s="40">
        <f t="shared" si="1"/>
        <v>33.333333333333336</v>
      </c>
    </row>
    <row r="94" spans="1:8" x14ac:dyDescent="0.2">
      <c r="A94" s="62">
        <v>2867</v>
      </c>
      <c r="B94" s="62" t="s">
        <v>134</v>
      </c>
      <c r="C94" s="62" t="s">
        <v>429</v>
      </c>
      <c r="D94" s="62" t="s">
        <v>46</v>
      </c>
      <c r="E94" s="62">
        <v>0</v>
      </c>
      <c r="F94" s="62">
        <v>0</v>
      </c>
      <c r="G94" s="62">
        <v>0</v>
      </c>
      <c r="H94" s="40">
        <f t="shared" si="1"/>
        <v>0</v>
      </c>
    </row>
    <row r="95" spans="1:8" x14ac:dyDescent="0.2">
      <c r="A95" s="62">
        <v>3111</v>
      </c>
      <c r="B95" s="62" t="s">
        <v>135</v>
      </c>
      <c r="C95" s="62" t="s">
        <v>496</v>
      </c>
      <c r="D95" s="62" t="s">
        <v>102</v>
      </c>
      <c r="E95" s="62">
        <v>0</v>
      </c>
      <c r="F95" s="62">
        <v>0</v>
      </c>
      <c r="G95" s="62">
        <v>0</v>
      </c>
      <c r="H95" s="40">
        <f t="shared" si="1"/>
        <v>0</v>
      </c>
    </row>
    <row r="96" spans="1:8" x14ac:dyDescent="0.2">
      <c r="A96" s="62">
        <v>3113</v>
      </c>
      <c r="B96" s="62" t="s">
        <v>136</v>
      </c>
      <c r="C96" s="62" t="s">
        <v>421</v>
      </c>
      <c r="D96" s="62" t="s">
        <v>61</v>
      </c>
      <c r="E96" s="62">
        <v>0</v>
      </c>
      <c r="F96" s="62">
        <v>0</v>
      </c>
      <c r="G96" s="62">
        <v>0</v>
      </c>
      <c r="H96" s="40">
        <f t="shared" si="1"/>
        <v>0</v>
      </c>
    </row>
    <row r="97" spans="1:8" x14ac:dyDescent="0.2">
      <c r="A97" s="62">
        <v>3176</v>
      </c>
      <c r="B97" s="62" t="s">
        <v>137</v>
      </c>
      <c r="C97" s="62" t="s">
        <v>421</v>
      </c>
      <c r="D97" s="62" t="s">
        <v>61</v>
      </c>
      <c r="E97" s="62">
        <v>0</v>
      </c>
      <c r="F97" s="62">
        <v>50</v>
      </c>
      <c r="G97" s="62">
        <v>0</v>
      </c>
      <c r="H97" s="40">
        <f t="shared" si="1"/>
        <v>16.666666666666668</v>
      </c>
    </row>
    <row r="98" spans="1:8" x14ac:dyDescent="0.2">
      <c r="A98" s="62">
        <v>3351</v>
      </c>
      <c r="B98" s="62" t="s">
        <v>138</v>
      </c>
      <c r="C98" s="62" t="s">
        <v>422</v>
      </c>
      <c r="D98" s="62" t="s">
        <v>54</v>
      </c>
      <c r="E98" s="62">
        <v>0</v>
      </c>
      <c r="F98" s="62">
        <v>0</v>
      </c>
      <c r="G98" s="62">
        <v>0</v>
      </c>
      <c r="H98" s="40">
        <f t="shared" si="1"/>
        <v>0</v>
      </c>
    </row>
    <row r="99" spans="1:8" x14ac:dyDescent="0.2">
      <c r="A99" s="62">
        <v>3366</v>
      </c>
      <c r="B99" s="62" t="s">
        <v>139</v>
      </c>
      <c r="C99" s="62" t="s">
        <v>421</v>
      </c>
      <c r="D99" s="62" t="s">
        <v>64</v>
      </c>
      <c r="E99" s="62">
        <v>0</v>
      </c>
      <c r="F99" s="62">
        <v>100</v>
      </c>
      <c r="G99" s="62">
        <v>0</v>
      </c>
      <c r="H99" s="40">
        <f>AVERAGE(E99:F99)</f>
        <v>50</v>
      </c>
    </row>
    <row r="100" spans="1:8" x14ac:dyDescent="0.2">
      <c r="A100" s="62">
        <v>3410</v>
      </c>
      <c r="B100" s="62" t="s">
        <v>140</v>
      </c>
      <c r="C100" s="62" t="s">
        <v>497</v>
      </c>
      <c r="D100" s="62" t="s">
        <v>141</v>
      </c>
      <c r="E100" s="62">
        <v>0</v>
      </c>
      <c r="F100" s="62">
        <v>100</v>
      </c>
      <c r="G100" s="62">
        <v>100</v>
      </c>
      <c r="H100" s="40">
        <f t="shared" si="1"/>
        <v>66.666666666666671</v>
      </c>
    </row>
    <row r="101" spans="1:8" x14ac:dyDescent="0.2">
      <c r="A101" s="62">
        <v>3412</v>
      </c>
      <c r="B101" s="62" t="s">
        <v>142</v>
      </c>
      <c r="C101" s="62" t="s">
        <v>424</v>
      </c>
      <c r="D101" s="62" t="s">
        <v>143</v>
      </c>
      <c r="E101" s="62">
        <v>100</v>
      </c>
      <c r="F101" s="62">
        <v>100</v>
      </c>
      <c r="G101" s="62">
        <v>100</v>
      </c>
      <c r="H101" s="40">
        <f t="shared" si="1"/>
        <v>100</v>
      </c>
    </row>
    <row r="102" spans="1:8" x14ac:dyDescent="0.2">
      <c r="A102" s="62">
        <v>3438</v>
      </c>
      <c r="B102" s="62" t="s">
        <v>144</v>
      </c>
      <c r="C102" s="62" t="s">
        <v>422</v>
      </c>
      <c r="D102" s="62" t="s">
        <v>90</v>
      </c>
      <c r="E102" s="62">
        <v>0</v>
      </c>
      <c r="F102" s="62">
        <v>0</v>
      </c>
      <c r="G102" s="62">
        <v>100</v>
      </c>
      <c r="H102" s="40">
        <f t="shared" si="1"/>
        <v>33.333333333333336</v>
      </c>
    </row>
    <row r="103" spans="1:8" x14ac:dyDescent="0.2">
      <c r="A103" s="62">
        <v>3443</v>
      </c>
      <c r="B103" s="62" t="s">
        <v>145</v>
      </c>
      <c r="C103" s="62" t="s">
        <v>421</v>
      </c>
      <c r="D103" s="62" t="s">
        <v>61</v>
      </c>
      <c r="E103" s="62">
        <v>0</v>
      </c>
      <c r="F103" s="62">
        <v>50</v>
      </c>
      <c r="G103" s="62">
        <v>0</v>
      </c>
      <c r="H103" s="40">
        <f t="shared" si="1"/>
        <v>16.666666666666668</v>
      </c>
    </row>
    <row r="104" spans="1:8" x14ac:dyDescent="0.2">
      <c r="A104" s="62">
        <v>3458</v>
      </c>
      <c r="B104" s="62" t="s">
        <v>146</v>
      </c>
      <c r="C104" s="62" t="s">
        <v>421</v>
      </c>
      <c r="D104" s="62" t="s">
        <v>52</v>
      </c>
      <c r="E104" s="62">
        <v>0</v>
      </c>
      <c r="F104" s="62">
        <v>0</v>
      </c>
      <c r="G104" s="62">
        <v>0</v>
      </c>
      <c r="H104" s="40">
        <f t="shared" si="1"/>
        <v>0</v>
      </c>
    </row>
    <row r="105" spans="1:8" x14ac:dyDescent="0.2">
      <c r="A105" s="62">
        <v>3463</v>
      </c>
      <c r="B105" s="62" t="s">
        <v>147</v>
      </c>
      <c r="C105" s="62" t="s">
        <v>496</v>
      </c>
      <c r="D105" s="62" t="s">
        <v>148</v>
      </c>
      <c r="E105" s="62">
        <v>0</v>
      </c>
      <c r="F105" s="62">
        <v>0</v>
      </c>
      <c r="G105" s="62">
        <v>0</v>
      </c>
      <c r="H105" s="40">
        <f t="shared" si="1"/>
        <v>0</v>
      </c>
    </row>
    <row r="106" spans="1:8" x14ac:dyDescent="0.2">
      <c r="A106" s="62">
        <v>3468</v>
      </c>
      <c r="B106" s="62" t="s">
        <v>149</v>
      </c>
      <c r="C106" s="62" t="s">
        <v>431</v>
      </c>
      <c r="D106" s="62" t="s">
        <v>125</v>
      </c>
      <c r="E106" s="62">
        <v>0</v>
      </c>
      <c r="F106" s="62">
        <v>0</v>
      </c>
      <c r="G106" s="62">
        <v>0</v>
      </c>
      <c r="H106" s="40">
        <f t="shared" si="1"/>
        <v>0</v>
      </c>
    </row>
    <row r="107" spans="1:8" x14ac:dyDescent="0.2">
      <c r="A107" s="62">
        <v>3482</v>
      </c>
      <c r="B107" s="62" t="s">
        <v>150</v>
      </c>
      <c r="C107" s="62" t="s">
        <v>421</v>
      </c>
      <c r="D107" s="62" t="s">
        <v>61</v>
      </c>
      <c r="E107" s="62">
        <v>0</v>
      </c>
      <c r="F107" s="62">
        <v>50</v>
      </c>
      <c r="G107" s="62">
        <v>0</v>
      </c>
      <c r="H107" s="40">
        <f t="shared" si="1"/>
        <v>16.666666666666668</v>
      </c>
    </row>
    <row r="108" spans="1:8" x14ac:dyDescent="0.2">
      <c r="A108" s="62">
        <v>3486</v>
      </c>
      <c r="B108" s="62" t="s">
        <v>151</v>
      </c>
      <c r="C108" s="62" t="s">
        <v>496</v>
      </c>
      <c r="D108" s="62" t="s">
        <v>102</v>
      </c>
      <c r="E108" s="62">
        <v>0</v>
      </c>
      <c r="F108" s="62">
        <v>100</v>
      </c>
      <c r="G108" s="62">
        <v>100</v>
      </c>
      <c r="H108" s="40">
        <f t="shared" si="1"/>
        <v>66.666666666666671</v>
      </c>
    </row>
    <row r="109" spans="1:8" x14ac:dyDescent="0.2">
      <c r="A109" s="62">
        <v>3502</v>
      </c>
      <c r="B109" s="62" t="s">
        <v>152</v>
      </c>
      <c r="C109" s="62" t="s">
        <v>421</v>
      </c>
      <c r="D109" s="62" t="s">
        <v>61</v>
      </c>
      <c r="E109" s="62">
        <v>100</v>
      </c>
      <c r="F109" s="62">
        <v>100</v>
      </c>
      <c r="G109" s="62">
        <v>0</v>
      </c>
      <c r="H109" s="40">
        <f t="shared" si="1"/>
        <v>66.666666666666671</v>
      </c>
    </row>
    <row r="110" spans="1:8" x14ac:dyDescent="0.2">
      <c r="A110" s="62">
        <v>3522</v>
      </c>
      <c r="B110" s="62" t="s">
        <v>153</v>
      </c>
      <c r="C110" s="62" t="s">
        <v>429</v>
      </c>
      <c r="D110" s="62" t="s">
        <v>46</v>
      </c>
      <c r="E110" s="62">
        <v>50</v>
      </c>
      <c r="F110" s="62">
        <v>0</v>
      </c>
      <c r="G110" s="62">
        <v>50</v>
      </c>
      <c r="H110" s="40">
        <f t="shared" si="1"/>
        <v>33.333333333333336</v>
      </c>
    </row>
    <row r="111" spans="1:8" x14ac:dyDescent="0.2">
      <c r="A111" s="62">
        <v>3549</v>
      </c>
      <c r="B111" s="62" t="s">
        <v>154</v>
      </c>
      <c r="C111" s="62" t="s">
        <v>431</v>
      </c>
      <c r="D111" s="62" t="s">
        <v>106</v>
      </c>
      <c r="E111" s="62">
        <v>50</v>
      </c>
      <c r="F111" s="62">
        <v>0</v>
      </c>
      <c r="G111" s="62">
        <v>0</v>
      </c>
      <c r="H111" s="40">
        <f t="shared" si="1"/>
        <v>16.666666666666668</v>
      </c>
    </row>
    <row r="112" spans="1:8" x14ac:dyDescent="0.2">
      <c r="A112" s="62">
        <v>3551</v>
      </c>
      <c r="B112" s="62" t="s">
        <v>155</v>
      </c>
      <c r="C112" s="62" t="s">
        <v>421</v>
      </c>
      <c r="D112" s="62" t="s">
        <v>61</v>
      </c>
      <c r="E112" s="62">
        <v>0</v>
      </c>
      <c r="F112" s="62">
        <v>100</v>
      </c>
      <c r="G112" s="62">
        <v>0</v>
      </c>
      <c r="H112" s="40">
        <f t="shared" si="1"/>
        <v>33.333333333333336</v>
      </c>
    </row>
    <row r="113" spans="1:8" x14ac:dyDescent="0.2">
      <c r="A113" s="62">
        <v>3565</v>
      </c>
      <c r="B113" s="62" t="s">
        <v>156</v>
      </c>
      <c r="C113" s="62" t="s">
        <v>421</v>
      </c>
      <c r="D113" s="62" t="s">
        <v>61</v>
      </c>
      <c r="E113" s="62">
        <v>0</v>
      </c>
      <c r="F113" s="62">
        <v>0</v>
      </c>
      <c r="G113" s="62">
        <v>0</v>
      </c>
      <c r="H113" s="40">
        <f t="shared" si="1"/>
        <v>0</v>
      </c>
    </row>
    <row r="114" spans="1:8" x14ac:dyDescent="0.2">
      <c r="A114" s="62">
        <v>3566</v>
      </c>
      <c r="B114" s="62" t="s">
        <v>157</v>
      </c>
      <c r="C114" s="62" t="s">
        <v>500</v>
      </c>
      <c r="D114" s="62" t="s">
        <v>158</v>
      </c>
      <c r="E114" s="62">
        <v>0</v>
      </c>
      <c r="F114" s="62">
        <v>100</v>
      </c>
      <c r="G114" s="62">
        <v>0</v>
      </c>
      <c r="H114" s="40">
        <f t="shared" si="1"/>
        <v>33.333333333333336</v>
      </c>
    </row>
    <row r="115" spans="1:8" x14ac:dyDescent="0.2">
      <c r="A115" s="62">
        <v>3567</v>
      </c>
      <c r="B115" s="62" t="s">
        <v>159</v>
      </c>
      <c r="C115" s="62" t="s">
        <v>421</v>
      </c>
      <c r="D115" s="62" t="s">
        <v>125</v>
      </c>
      <c r="E115" s="62">
        <v>0</v>
      </c>
      <c r="F115" s="62">
        <v>100</v>
      </c>
      <c r="G115" s="62">
        <v>100</v>
      </c>
      <c r="H115" s="40">
        <f t="shared" si="1"/>
        <v>66.666666666666671</v>
      </c>
    </row>
    <row r="116" spans="1:8" x14ac:dyDescent="0.2">
      <c r="A116" s="62">
        <v>3572</v>
      </c>
      <c r="B116" s="62" t="s">
        <v>160</v>
      </c>
      <c r="C116" s="62" t="s">
        <v>500</v>
      </c>
      <c r="D116" s="62" t="s">
        <v>104</v>
      </c>
      <c r="E116" s="62">
        <v>0</v>
      </c>
      <c r="F116" s="62">
        <v>0</v>
      </c>
      <c r="G116" s="62">
        <v>0</v>
      </c>
      <c r="H116" s="40">
        <f t="shared" si="1"/>
        <v>0</v>
      </c>
    </row>
    <row r="117" spans="1:8" x14ac:dyDescent="0.2">
      <c r="A117" s="62">
        <v>3576</v>
      </c>
      <c r="B117" s="62" t="s">
        <v>161</v>
      </c>
      <c r="C117" s="62" t="s">
        <v>500</v>
      </c>
      <c r="D117" s="62" t="s">
        <v>104</v>
      </c>
      <c r="E117" s="62">
        <v>0</v>
      </c>
      <c r="F117" s="62">
        <v>0</v>
      </c>
      <c r="G117" s="62">
        <v>0</v>
      </c>
      <c r="H117" s="40">
        <f t="shared" si="1"/>
        <v>0</v>
      </c>
    </row>
    <row r="118" spans="1:8" x14ac:dyDescent="0.2">
      <c r="A118" s="62">
        <v>3582</v>
      </c>
      <c r="B118" s="62" t="s">
        <v>162</v>
      </c>
      <c r="C118" s="62" t="s">
        <v>496</v>
      </c>
      <c r="D118" s="62" t="s">
        <v>163</v>
      </c>
      <c r="E118" s="62">
        <v>0</v>
      </c>
      <c r="F118" s="62">
        <v>100</v>
      </c>
      <c r="G118" s="62">
        <v>0</v>
      </c>
      <c r="H118" s="40">
        <f t="shared" si="1"/>
        <v>33.333333333333336</v>
      </c>
    </row>
    <row r="119" spans="1:8" x14ac:dyDescent="0.2">
      <c r="A119" s="62">
        <v>3597</v>
      </c>
      <c r="B119" s="62" t="s">
        <v>164</v>
      </c>
      <c r="C119" s="62" t="s">
        <v>429</v>
      </c>
      <c r="D119" s="62" t="s">
        <v>46</v>
      </c>
      <c r="E119" s="62">
        <v>0</v>
      </c>
      <c r="F119" s="62">
        <v>50</v>
      </c>
      <c r="G119" s="62">
        <v>0</v>
      </c>
      <c r="H119" s="40">
        <f t="shared" si="1"/>
        <v>16.666666666666668</v>
      </c>
    </row>
    <row r="120" spans="1:8" x14ac:dyDescent="0.2">
      <c r="A120" s="62">
        <v>3598</v>
      </c>
      <c r="B120" s="62" t="s">
        <v>165</v>
      </c>
      <c r="C120" s="62" t="s">
        <v>429</v>
      </c>
      <c r="D120" s="62" t="s">
        <v>46</v>
      </c>
      <c r="E120" s="62">
        <v>0</v>
      </c>
      <c r="F120" s="62">
        <v>50</v>
      </c>
      <c r="G120" s="62">
        <v>0</v>
      </c>
      <c r="H120" s="40">
        <f t="shared" si="1"/>
        <v>16.666666666666668</v>
      </c>
    </row>
    <row r="121" spans="1:8" x14ac:dyDescent="0.2">
      <c r="A121" s="62">
        <v>3614</v>
      </c>
      <c r="B121" s="62" t="s">
        <v>166</v>
      </c>
      <c r="C121" s="62" t="s">
        <v>429</v>
      </c>
      <c r="D121" s="62" t="s">
        <v>26</v>
      </c>
      <c r="E121" s="62">
        <v>0</v>
      </c>
      <c r="F121" s="62">
        <v>0</v>
      </c>
      <c r="G121" s="62">
        <v>100</v>
      </c>
      <c r="H121" s="40">
        <f t="shared" si="1"/>
        <v>33.333333333333336</v>
      </c>
    </row>
    <row r="122" spans="1:8" x14ac:dyDescent="0.2">
      <c r="A122" s="62">
        <v>3616</v>
      </c>
      <c r="B122" s="62" t="s">
        <v>167</v>
      </c>
      <c r="C122" s="62" t="s">
        <v>422</v>
      </c>
      <c r="D122" s="62" t="s">
        <v>109</v>
      </c>
      <c r="E122" s="62">
        <v>0</v>
      </c>
      <c r="F122" s="62">
        <v>0</v>
      </c>
      <c r="G122" s="62">
        <v>0</v>
      </c>
      <c r="H122" s="40">
        <f t="shared" si="1"/>
        <v>0</v>
      </c>
    </row>
    <row r="123" spans="1:8" x14ac:dyDescent="0.2">
      <c r="A123" s="62">
        <v>3620</v>
      </c>
      <c r="B123" s="62" t="s">
        <v>168</v>
      </c>
      <c r="C123" s="62" t="s">
        <v>429</v>
      </c>
      <c r="D123" s="62" t="s">
        <v>46</v>
      </c>
      <c r="E123" s="62">
        <v>0</v>
      </c>
      <c r="F123" s="62">
        <v>0</v>
      </c>
      <c r="G123" s="62">
        <v>0</v>
      </c>
      <c r="H123" s="40">
        <f t="shared" si="1"/>
        <v>0</v>
      </c>
    </row>
    <row r="124" spans="1:8" x14ac:dyDescent="0.2">
      <c r="A124" s="62">
        <v>3649</v>
      </c>
      <c r="B124" s="62" t="s">
        <v>169</v>
      </c>
      <c r="C124" s="62" t="s">
        <v>496</v>
      </c>
      <c r="D124" s="62" t="s">
        <v>170</v>
      </c>
      <c r="E124" s="62">
        <v>50</v>
      </c>
      <c r="F124" s="62">
        <v>100</v>
      </c>
      <c r="G124" s="62">
        <v>50</v>
      </c>
      <c r="H124" s="40">
        <f t="shared" si="1"/>
        <v>66.666666666666671</v>
      </c>
    </row>
    <row r="125" spans="1:8" x14ac:dyDescent="0.2">
      <c r="A125" s="62">
        <v>3650</v>
      </c>
      <c r="B125" s="62" t="s">
        <v>171</v>
      </c>
      <c r="C125" s="62" t="s">
        <v>431</v>
      </c>
      <c r="D125" s="62" t="s">
        <v>125</v>
      </c>
      <c r="E125" s="62">
        <v>0</v>
      </c>
      <c r="F125" s="62">
        <v>50</v>
      </c>
      <c r="G125" s="62">
        <v>0</v>
      </c>
      <c r="H125" s="40">
        <f t="shared" si="1"/>
        <v>16.666666666666668</v>
      </c>
    </row>
    <row r="126" spans="1:8" x14ac:dyDescent="0.2">
      <c r="A126" s="62">
        <v>3655</v>
      </c>
      <c r="B126" s="62" t="s">
        <v>172</v>
      </c>
      <c r="C126" s="62" t="s">
        <v>429</v>
      </c>
      <c r="D126" s="62" t="s">
        <v>46</v>
      </c>
      <c r="E126" s="62">
        <v>0</v>
      </c>
      <c r="F126" s="62">
        <v>0</v>
      </c>
      <c r="G126" s="62">
        <v>0</v>
      </c>
      <c r="H126" s="40">
        <f t="shared" si="1"/>
        <v>0</v>
      </c>
    </row>
    <row r="127" spans="1:8" x14ac:dyDescent="0.2">
      <c r="A127" s="62">
        <v>3656</v>
      </c>
      <c r="B127" s="62" t="s">
        <v>173</v>
      </c>
      <c r="C127" s="62" t="s">
        <v>431</v>
      </c>
      <c r="D127" s="62" t="s">
        <v>106</v>
      </c>
      <c r="E127" s="62">
        <v>100</v>
      </c>
      <c r="F127" s="62">
        <v>100</v>
      </c>
      <c r="G127" s="62">
        <v>100</v>
      </c>
      <c r="H127" s="40">
        <f t="shared" si="1"/>
        <v>100</v>
      </c>
    </row>
    <row r="128" spans="1:8" x14ac:dyDescent="0.2">
      <c r="A128" s="62">
        <v>3662</v>
      </c>
      <c r="B128" s="62" t="s">
        <v>174</v>
      </c>
      <c r="C128" s="62" t="s">
        <v>495</v>
      </c>
      <c r="D128" s="62" t="s">
        <v>24</v>
      </c>
      <c r="E128" s="62">
        <v>0</v>
      </c>
      <c r="F128" s="62">
        <v>0</v>
      </c>
      <c r="G128" s="62">
        <v>0</v>
      </c>
      <c r="H128" s="40">
        <f t="shared" si="1"/>
        <v>0</v>
      </c>
    </row>
    <row r="129" spans="1:8" x14ac:dyDescent="0.2">
      <c r="A129" s="62">
        <v>3664</v>
      </c>
      <c r="B129" s="62" t="s">
        <v>175</v>
      </c>
      <c r="C129" s="62" t="s">
        <v>431</v>
      </c>
      <c r="D129" s="62" t="s">
        <v>24</v>
      </c>
      <c r="E129" s="62">
        <v>0</v>
      </c>
      <c r="F129" s="62">
        <v>0</v>
      </c>
      <c r="G129" s="62">
        <v>0</v>
      </c>
      <c r="H129" s="40">
        <f t="shared" si="1"/>
        <v>0</v>
      </c>
    </row>
    <row r="130" spans="1:8" x14ac:dyDescent="0.2">
      <c r="A130" s="62">
        <v>3694</v>
      </c>
      <c r="B130" s="62" t="s">
        <v>176</v>
      </c>
      <c r="C130" s="62" t="s">
        <v>431</v>
      </c>
      <c r="D130" s="62" t="s">
        <v>125</v>
      </c>
      <c r="E130" s="62">
        <v>100</v>
      </c>
      <c r="F130" s="62">
        <v>50</v>
      </c>
      <c r="G130" s="62">
        <v>0</v>
      </c>
      <c r="H130" s="40">
        <f t="shared" si="1"/>
        <v>50</v>
      </c>
    </row>
    <row r="131" spans="1:8" x14ac:dyDescent="0.2">
      <c r="A131" s="62">
        <v>3710</v>
      </c>
      <c r="B131" s="62" t="s">
        <v>177</v>
      </c>
      <c r="C131" s="62" t="s">
        <v>429</v>
      </c>
      <c r="D131" s="62" t="s">
        <v>46</v>
      </c>
      <c r="E131" s="62">
        <v>100</v>
      </c>
      <c r="F131" s="62">
        <v>100</v>
      </c>
      <c r="G131" s="62">
        <v>100</v>
      </c>
      <c r="H131" s="40">
        <f t="shared" ref="H131:H194" si="2">AVERAGE(E131:G131)</f>
        <v>100</v>
      </c>
    </row>
    <row r="132" spans="1:8" x14ac:dyDescent="0.2">
      <c r="A132" s="62">
        <v>3746</v>
      </c>
      <c r="B132" s="62" t="s">
        <v>178</v>
      </c>
      <c r="C132" s="62" t="s">
        <v>424</v>
      </c>
      <c r="D132" s="62" t="s">
        <v>143</v>
      </c>
      <c r="E132" s="62">
        <v>100</v>
      </c>
      <c r="F132" s="62">
        <v>50</v>
      </c>
      <c r="G132" s="62">
        <v>100</v>
      </c>
      <c r="H132" s="40">
        <f t="shared" si="2"/>
        <v>83.333333333333329</v>
      </c>
    </row>
    <row r="133" spans="1:8" x14ac:dyDescent="0.2">
      <c r="A133" s="62">
        <v>3760</v>
      </c>
      <c r="B133" s="62" t="s">
        <v>179</v>
      </c>
      <c r="C133" s="62" t="s">
        <v>431</v>
      </c>
      <c r="D133" s="62" t="s">
        <v>125</v>
      </c>
      <c r="E133" s="62">
        <v>0</v>
      </c>
      <c r="F133" s="62">
        <v>0</v>
      </c>
      <c r="G133" s="62">
        <v>0</v>
      </c>
      <c r="H133" s="40">
        <f t="shared" si="2"/>
        <v>0</v>
      </c>
    </row>
    <row r="134" spans="1:8" x14ac:dyDescent="0.2">
      <c r="A134" s="62">
        <v>3770</v>
      </c>
      <c r="B134" s="62" t="s">
        <v>180</v>
      </c>
      <c r="C134" s="62" t="s">
        <v>422</v>
      </c>
      <c r="D134" s="62" t="s">
        <v>54</v>
      </c>
      <c r="E134" s="62">
        <v>0</v>
      </c>
      <c r="F134" s="62">
        <v>0</v>
      </c>
      <c r="G134" s="62">
        <v>0</v>
      </c>
      <c r="H134" s="40">
        <f t="shared" si="2"/>
        <v>0</v>
      </c>
    </row>
    <row r="135" spans="1:8" x14ac:dyDescent="0.2">
      <c r="A135" s="62">
        <v>3796</v>
      </c>
      <c r="B135" s="62" t="s">
        <v>181</v>
      </c>
      <c r="C135" s="62" t="s">
        <v>429</v>
      </c>
      <c r="D135" s="62" t="s">
        <v>26</v>
      </c>
      <c r="E135" s="62">
        <v>100</v>
      </c>
      <c r="F135" s="62">
        <v>0</v>
      </c>
      <c r="G135" s="62">
        <v>0</v>
      </c>
      <c r="H135" s="40">
        <f t="shared" si="2"/>
        <v>33.333333333333336</v>
      </c>
    </row>
    <row r="136" spans="1:8" x14ac:dyDescent="0.2">
      <c r="A136" s="62">
        <v>3800</v>
      </c>
      <c r="B136" s="62" t="s">
        <v>182</v>
      </c>
      <c r="C136" s="62" t="s">
        <v>421</v>
      </c>
      <c r="D136" s="62" t="s">
        <v>10</v>
      </c>
      <c r="E136" s="62">
        <v>100</v>
      </c>
      <c r="F136" s="62">
        <v>50</v>
      </c>
      <c r="G136" s="62">
        <v>0</v>
      </c>
      <c r="H136" s="40">
        <f t="shared" si="2"/>
        <v>50</v>
      </c>
    </row>
    <row r="137" spans="1:8" x14ac:dyDescent="0.2">
      <c r="A137" s="62">
        <v>3801</v>
      </c>
      <c r="B137" s="62" t="s">
        <v>183</v>
      </c>
      <c r="C137" s="62" t="s">
        <v>421</v>
      </c>
      <c r="D137" s="62" t="s">
        <v>10</v>
      </c>
      <c r="E137" s="62">
        <v>0</v>
      </c>
      <c r="F137" s="62">
        <v>0</v>
      </c>
      <c r="G137" s="62">
        <v>0</v>
      </c>
      <c r="H137" s="40">
        <f t="shared" si="2"/>
        <v>0</v>
      </c>
    </row>
    <row r="138" spans="1:8" x14ac:dyDescent="0.2">
      <c r="A138" s="62">
        <v>3802</v>
      </c>
      <c r="B138" s="62" t="s">
        <v>184</v>
      </c>
      <c r="C138" s="62" t="s">
        <v>422</v>
      </c>
      <c r="D138" s="62" t="s">
        <v>54</v>
      </c>
      <c r="E138" s="62">
        <v>0</v>
      </c>
      <c r="F138" s="62">
        <v>0</v>
      </c>
      <c r="G138" s="62">
        <v>0</v>
      </c>
      <c r="H138" s="40">
        <f t="shared" si="2"/>
        <v>0</v>
      </c>
    </row>
    <row r="139" spans="1:8" x14ac:dyDescent="0.2">
      <c r="A139" s="62">
        <v>3805</v>
      </c>
      <c r="B139" s="62" t="s">
        <v>185</v>
      </c>
      <c r="C139" s="62" t="s">
        <v>421</v>
      </c>
      <c r="D139" s="62" t="s">
        <v>99</v>
      </c>
      <c r="E139" s="62">
        <v>0</v>
      </c>
      <c r="F139" s="62">
        <v>100</v>
      </c>
      <c r="G139" s="62">
        <v>0</v>
      </c>
      <c r="H139" s="40">
        <f>AVERAGE(E139:F139)</f>
        <v>50</v>
      </c>
    </row>
    <row r="140" spans="1:8" x14ac:dyDescent="0.2">
      <c r="A140" s="62">
        <v>3807</v>
      </c>
      <c r="B140" s="62" t="s">
        <v>186</v>
      </c>
      <c r="C140" s="62" t="s">
        <v>495</v>
      </c>
      <c r="D140" s="62" t="s">
        <v>24</v>
      </c>
      <c r="E140" s="62">
        <v>0</v>
      </c>
      <c r="F140" s="62">
        <v>100</v>
      </c>
      <c r="G140" s="62">
        <v>0</v>
      </c>
      <c r="H140" s="40">
        <f t="shared" si="2"/>
        <v>33.333333333333336</v>
      </c>
    </row>
    <row r="141" spans="1:8" x14ac:dyDescent="0.2">
      <c r="A141" s="62">
        <v>3808</v>
      </c>
      <c r="B141" s="62" t="s">
        <v>187</v>
      </c>
      <c r="C141" s="62" t="s">
        <v>500</v>
      </c>
      <c r="D141" s="62" t="s">
        <v>104</v>
      </c>
      <c r="E141" s="62">
        <v>0</v>
      </c>
      <c r="F141" s="62">
        <v>0</v>
      </c>
      <c r="G141" s="62">
        <v>0</v>
      </c>
      <c r="H141" s="40">
        <f t="shared" si="2"/>
        <v>0</v>
      </c>
    </row>
    <row r="142" spans="1:8" x14ac:dyDescent="0.2">
      <c r="A142" s="62">
        <v>3825</v>
      </c>
      <c r="B142" s="62" t="s">
        <v>188</v>
      </c>
      <c r="C142" s="62" t="s">
        <v>421</v>
      </c>
      <c r="D142" s="62" t="s">
        <v>61</v>
      </c>
      <c r="E142" s="62">
        <v>50</v>
      </c>
      <c r="F142" s="62">
        <v>0</v>
      </c>
      <c r="G142" s="62">
        <v>0</v>
      </c>
      <c r="H142" s="40">
        <f t="shared" si="2"/>
        <v>16.666666666666668</v>
      </c>
    </row>
    <row r="143" spans="1:8" x14ac:dyDescent="0.2">
      <c r="A143" s="62">
        <v>3830</v>
      </c>
      <c r="B143" s="62" t="s">
        <v>191</v>
      </c>
      <c r="C143" s="62" t="s">
        <v>421</v>
      </c>
      <c r="D143" s="62" t="s">
        <v>61</v>
      </c>
      <c r="E143" s="62">
        <v>50</v>
      </c>
      <c r="F143" s="62">
        <v>100</v>
      </c>
      <c r="G143" s="62">
        <v>50</v>
      </c>
      <c r="H143" s="40">
        <f t="shared" si="2"/>
        <v>66.666666666666671</v>
      </c>
    </row>
    <row r="144" spans="1:8" x14ac:dyDescent="0.2">
      <c r="A144" s="62">
        <v>3844</v>
      </c>
      <c r="B144" s="62" t="s">
        <v>192</v>
      </c>
      <c r="C144" s="62" t="s">
        <v>495</v>
      </c>
      <c r="D144" s="62" t="s">
        <v>24</v>
      </c>
      <c r="E144" s="62">
        <v>0</v>
      </c>
      <c r="F144" s="62">
        <v>0</v>
      </c>
      <c r="G144" s="62">
        <v>50</v>
      </c>
      <c r="H144" s="40">
        <f t="shared" si="2"/>
        <v>16.666666666666668</v>
      </c>
    </row>
    <row r="145" spans="1:8" x14ac:dyDescent="0.2">
      <c r="A145" s="62">
        <v>3847</v>
      </c>
      <c r="B145" s="62" t="s">
        <v>193</v>
      </c>
      <c r="C145" s="62" t="s">
        <v>429</v>
      </c>
      <c r="D145" s="62" t="s">
        <v>46</v>
      </c>
      <c r="E145" s="62">
        <v>0</v>
      </c>
      <c r="F145" s="62">
        <v>0</v>
      </c>
      <c r="G145" s="62">
        <v>0</v>
      </c>
      <c r="H145" s="40">
        <f t="shared" si="2"/>
        <v>0</v>
      </c>
    </row>
    <row r="146" spans="1:8" x14ac:dyDescent="0.2">
      <c r="A146" s="62">
        <v>3848</v>
      </c>
      <c r="B146" s="62" t="s">
        <v>194</v>
      </c>
      <c r="C146" s="62" t="s">
        <v>431</v>
      </c>
      <c r="D146" s="62" t="s">
        <v>125</v>
      </c>
      <c r="E146" s="62">
        <v>0</v>
      </c>
      <c r="F146" s="62">
        <v>100</v>
      </c>
      <c r="G146" s="62">
        <v>100</v>
      </c>
      <c r="H146" s="40">
        <f t="shared" si="2"/>
        <v>66.666666666666671</v>
      </c>
    </row>
    <row r="147" spans="1:8" x14ac:dyDescent="0.2">
      <c r="A147" s="62">
        <v>3850</v>
      </c>
      <c r="B147" s="62" t="s">
        <v>195</v>
      </c>
      <c r="C147" s="62" t="s">
        <v>431</v>
      </c>
      <c r="D147" s="62" t="s">
        <v>125</v>
      </c>
      <c r="E147" s="62">
        <v>0</v>
      </c>
      <c r="F147" s="62">
        <v>0</v>
      </c>
      <c r="G147" s="62">
        <v>0</v>
      </c>
      <c r="H147" s="40">
        <f t="shared" si="2"/>
        <v>0</v>
      </c>
    </row>
    <row r="148" spans="1:8" x14ac:dyDescent="0.2">
      <c r="A148" s="62">
        <v>3864</v>
      </c>
      <c r="B148" s="62" t="s">
        <v>196</v>
      </c>
      <c r="C148" s="62" t="s">
        <v>421</v>
      </c>
      <c r="D148" s="62" t="s">
        <v>61</v>
      </c>
      <c r="E148" s="62">
        <v>0</v>
      </c>
      <c r="F148" s="62">
        <v>100</v>
      </c>
      <c r="G148" s="62">
        <v>0</v>
      </c>
      <c r="H148" s="40">
        <f t="shared" si="2"/>
        <v>33.333333333333336</v>
      </c>
    </row>
    <row r="149" spans="1:8" x14ac:dyDescent="0.2">
      <c r="A149" s="62">
        <v>3868</v>
      </c>
      <c r="B149" s="62" t="s">
        <v>197</v>
      </c>
      <c r="C149" s="62" t="s">
        <v>421</v>
      </c>
      <c r="D149" s="62" t="s">
        <v>198</v>
      </c>
      <c r="E149" s="62">
        <v>50</v>
      </c>
      <c r="F149" s="62">
        <v>100</v>
      </c>
      <c r="G149" s="62">
        <v>0</v>
      </c>
      <c r="H149" s="40">
        <f>AVERAGE(E149:F149)</f>
        <v>75</v>
      </c>
    </row>
    <row r="150" spans="1:8" x14ac:dyDescent="0.2">
      <c r="A150" s="62">
        <v>3875</v>
      </c>
      <c r="B150" s="62" t="s">
        <v>199</v>
      </c>
      <c r="C150" s="62" t="s">
        <v>421</v>
      </c>
      <c r="D150" s="62" t="s">
        <v>61</v>
      </c>
      <c r="E150" s="62">
        <v>0</v>
      </c>
      <c r="F150" s="62">
        <v>50</v>
      </c>
      <c r="G150" s="62">
        <v>0</v>
      </c>
      <c r="H150" s="40">
        <f t="shared" si="2"/>
        <v>16.666666666666668</v>
      </c>
    </row>
    <row r="151" spans="1:8" x14ac:dyDescent="0.2">
      <c r="A151" s="62">
        <v>3878</v>
      </c>
      <c r="B151" s="62" t="s">
        <v>200</v>
      </c>
      <c r="C151" s="62" t="s">
        <v>429</v>
      </c>
      <c r="D151" s="62" t="s">
        <v>46</v>
      </c>
      <c r="E151" s="62">
        <v>100</v>
      </c>
      <c r="F151" s="62">
        <v>100</v>
      </c>
      <c r="G151" s="62">
        <v>100</v>
      </c>
      <c r="H151" s="40">
        <f t="shared" si="2"/>
        <v>100</v>
      </c>
    </row>
    <row r="152" spans="1:8" x14ac:dyDescent="0.2">
      <c r="A152" s="62">
        <v>3886</v>
      </c>
      <c r="B152" s="62" t="s">
        <v>201</v>
      </c>
      <c r="C152" s="62" t="s">
        <v>422</v>
      </c>
      <c r="D152" s="62" t="s">
        <v>54</v>
      </c>
      <c r="E152" s="62">
        <v>0</v>
      </c>
      <c r="F152" s="62">
        <v>0</v>
      </c>
      <c r="G152" s="62">
        <v>0</v>
      </c>
      <c r="H152" s="40">
        <f t="shared" si="2"/>
        <v>0</v>
      </c>
    </row>
    <row r="153" spans="1:8" x14ac:dyDescent="0.2">
      <c r="A153" s="62">
        <v>3911</v>
      </c>
      <c r="B153" s="62" t="s">
        <v>202</v>
      </c>
      <c r="C153" s="62" t="s">
        <v>500</v>
      </c>
      <c r="D153" s="62" t="s">
        <v>69</v>
      </c>
      <c r="E153" s="62">
        <v>100</v>
      </c>
      <c r="F153" s="62">
        <v>100</v>
      </c>
      <c r="G153" s="62">
        <v>0</v>
      </c>
      <c r="H153" s="40">
        <f t="shared" si="2"/>
        <v>66.666666666666671</v>
      </c>
    </row>
    <row r="154" spans="1:8" x14ac:dyDescent="0.2">
      <c r="A154" s="62">
        <v>3913</v>
      </c>
      <c r="B154" s="62" t="s">
        <v>203</v>
      </c>
      <c r="C154" s="62" t="s">
        <v>422</v>
      </c>
      <c r="D154" s="62" t="s">
        <v>54</v>
      </c>
      <c r="E154" s="62">
        <v>0</v>
      </c>
      <c r="F154" s="62">
        <v>0</v>
      </c>
      <c r="G154" s="62">
        <v>100</v>
      </c>
      <c r="H154" s="40">
        <f t="shared" si="2"/>
        <v>33.333333333333336</v>
      </c>
    </row>
    <row r="155" spans="1:8" x14ac:dyDescent="0.2">
      <c r="A155" s="62">
        <v>3927</v>
      </c>
      <c r="B155" s="62" t="s">
        <v>204</v>
      </c>
      <c r="C155" s="62" t="s">
        <v>422</v>
      </c>
      <c r="D155" s="62" t="s">
        <v>54</v>
      </c>
      <c r="E155" s="62">
        <v>0</v>
      </c>
      <c r="F155" s="62">
        <v>0</v>
      </c>
      <c r="G155" s="62">
        <v>0</v>
      </c>
      <c r="H155" s="40">
        <f t="shared" si="2"/>
        <v>0</v>
      </c>
    </row>
    <row r="156" spans="1:8" x14ac:dyDescent="0.2">
      <c r="A156" s="62">
        <v>3930</v>
      </c>
      <c r="B156" s="62" t="s">
        <v>205</v>
      </c>
      <c r="C156" s="62" t="s">
        <v>424</v>
      </c>
      <c r="D156" s="62" t="s">
        <v>44</v>
      </c>
      <c r="E156" s="62">
        <v>100</v>
      </c>
      <c r="F156" s="62">
        <v>100</v>
      </c>
      <c r="G156" s="62">
        <v>100</v>
      </c>
      <c r="H156" s="40">
        <f t="shared" si="2"/>
        <v>100</v>
      </c>
    </row>
    <row r="157" spans="1:8" x14ac:dyDescent="0.2">
      <c r="A157" s="62">
        <v>3936</v>
      </c>
      <c r="B157" s="62" t="s">
        <v>206</v>
      </c>
      <c r="C157" s="62" t="s">
        <v>421</v>
      </c>
      <c r="D157" s="62" t="s">
        <v>86</v>
      </c>
      <c r="E157" s="62">
        <v>0</v>
      </c>
      <c r="F157" s="62">
        <v>50</v>
      </c>
      <c r="G157" s="62">
        <v>0</v>
      </c>
      <c r="H157" s="40">
        <f t="shared" si="2"/>
        <v>16.666666666666668</v>
      </c>
    </row>
    <row r="158" spans="1:8" x14ac:dyDescent="0.2">
      <c r="A158" s="62">
        <v>3939</v>
      </c>
      <c r="B158" s="62" t="s">
        <v>207</v>
      </c>
      <c r="C158" s="62" t="s">
        <v>421</v>
      </c>
      <c r="D158" s="62" t="s">
        <v>86</v>
      </c>
      <c r="E158" s="62">
        <v>0</v>
      </c>
      <c r="F158" s="62">
        <v>0</v>
      </c>
      <c r="G158" s="62">
        <v>0</v>
      </c>
      <c r="H158" s="40">
        <f t="shared" si="2"/>
        <v>0</v>
      </c>
    </row>
    <row r="159" spans="1:8" x14ac:dyDescent="0.2">
      <c r="A159" s="62">
        <v>3941</v>
      </c>
      <c r="B159" s="62" t="s">
        <v>208</v>
      </c>
      <c r="C159" s="62" t="s">
        <v>422</v>
      </c>
      <c r="D159" s="62" t="s">
        <v>54</v>
      </c>
      <c r="E159" s="62">
        <v>0</v>
      </c>
      <c r="F159" s="62">
        <v>0</v>
      </c>
      <c r="G159" s="62">
        <v>0</v>
      </c>
      <c r="H159" s="40">
        <f t="shared" si="2"/>
        <v>0</v>
      </c>
    </row>
    <row r="160" spans="1:8" x14ac:dyDescent="0.2">
      <c r="A160" s="62">
        <v>3958</v>
      </c>
      <c r="B160" s="62" t="s">
        <v>209</v>
      </c>
      <c r="C160" s="62" t="s">
        <v>421</v>
      </c>
      <c r="D160" s="62" t="s">
        <v>86</v>
      </c>
      <c r="E160" s="62">
        <v>0</v>
      </c>
      <c r="F160" s="62">
        <v>100</v>
      </c>
      <c r="G160" s="62">
        <v>0</v>
      </c>
      <c r="H160" s="40">
        <f t="shared" si="2"/>
        <v>33.333333333333336</v>
      </c>
    </row>
    <row r="161" spans="1:8" x14ac:dyDescent="0.2">
      <c r="A161" s="62">
        <v>3983</v>
      </c>
      <c r="B161" s="62" t="s">
        <v>210</v>
      </c>
      <c r="C161" s="62" t="s">
        <v>422</v>
      </c>
      <c r="D161" s="62" t="s">
        <v>54</v>
      </c>
      <c r="E161" s="62">
        <v>0</v>
      </c>
      <c r="F161" s="62">
        <v>0</v>
      </c>
      <c r="G161" s="62">
        <v>0</v>
      </c>
      <c r="H161" s="40">
        <f t="shared" si="2"/>
        <v>0</v>
      </c>
    </row>
    <row r="162" spans="1:8" x14ac:dyDescent="0.2">
      <c r="A162" s="62">
        <v>3995</v>
      </c>
      <c r="B162" s="62" t="s">
        <v>211</v>
      </c>
      <c r="C162" s="62" t="s">
        <v>421</v>
      </c>
      <c r="D162" s="62" t="s">
        <v>86</v>
      </c>
      <c r="E162" s="62">
        <v>50</v>
      </c>
      <c r="F162" s="62">
        <v>100</v>
      </c>
      <c r="G162" s="62">
        <v>0</v>
      </c>
      <c r="H162" s="40">
        <f t="shared" si="2"/>
        <v>50</v>
      </c>
    </row>
    <row r="163" spans="1:8" x14ac:dyDescent="0.2">
      <c r="A163" s="62">
        <v>4000</v>
      </c>
      <c r="B163" s="62" t="s">
        <v>212</v>
      </c>
      <c r="C163" s="62" t="s">
        <v>421</v>
      </c>
      <c r="D163" s="62" t="s">
        <v>10</v>
      </c>
      <c r="E163" s="62">
        <v>0</v>
      </c>
      <c r="F163" s="62">
        <v>0</v>
      </c>
      <c r="G163" s="62">
        <v>0</v>
      </c>
      <c r="H163" s="40">
        <f t="shared" si="2"/>
        <v>0</v>
      </c>
    </row>
    <row r="164" spans="1:8" x14ac:dyDescent="0.2">
      <c r="A164" s="62">
        <v>4001</v>
      </c>
      <c r="B164" s="62" t="s">
        <v>213</v>
      </c>
      <c r="C164" s="62" t="s">
        <v>421</v>
      </c>
      <c r="D164" s="62" t="s">
        <v>86</v>
      </c>
      <c r="E164" s="62">
        <v>0</v>
      </c>
      <c r="F164" s="62">
        <v>0</v>
      </c>
      <c r="G164" s="62">
        <v>0</v>
      </c>
      <c r="H164" s="40">
        <f t="shared" si="2"/>
        <v>0</v>
      </c>
    </row>
    <row r="165" spans="1:8" x14ac:dyDescent="0.2">
      <c r="A165" s="62">
        <v>4002</v>
      </c>
      <c r="B165" s="62" t="s">
        <v>214</v>
      </c>
      <c r="C165" s="62" t="s">
        <v>421</v>
      </c>
      <c r="D165" s="62" t="s">
        <v>10</v>
      </c>
      <c r="E165" s="62">
        <v>0</v>
      </c>
      <c r="F165" s="62">
        <v>0</v>
      </c>
      <c r="G165" s="62">
        <v>0</v>
      </c>
      <c r="H165" s="40">
        <f t="shared" si="2"/>
        <v>0</v>
      </c>
    </row>
    <row r="166" spans="1:8" x14ac:dyDescent="0.2">
      <c r="A166" s="62">
        <v>4007</v>
      </c>
      <c r="B166" s="62" t="s">
        <v>215</v>
      </c>
      <c r="C166" s="62" t="s">
        <v>429</v>
      </c>
      <c r="D166" s="62" t="s">
        <v>46</v>
      </c>
      <c r="E166" s="62">
        <v>100</v>
      </c>
      <c r="F166" s="62">
        <v>100</v>
      </c>
      <c r="G166" s="62">
        <v>100</v>
      </c>
      <c r="H166" s="40">
        <f t="shared" si="2"/>
        <v>100</v>
      </c>
    </row>
    <row r="167" spans="1:8" x14ac:dyDescent="0.2">
      <c r="A167" s="62">
        <v>4018</v>
      </c>
      <c r="B167" s="62" t="s">
        <v>216</v>
      </c>
      <c r="C167" s="62" t="s">
        <v>422</v>
      </c>
      <c r="D167" s="62" t="s">
        <v>54</v>
      </c>
      <c r="E167" s="62">
        <v>0</v>
      </c>
      <c r="F167" s="62">
        <v>0</v>
      </c>
      <c r="G167" s="62">
        <v>0</v>
      </c>
      <c r="H167" s="40">
        <f t="shared" si="2"/>
        <v>0</v>
      </c>
    </row>
    <row r="168" spans="1:8" x14ac:dyDescent="0.2">
      <c r="A168" s="62">
        <v>4019</v>
      </c>
      <c r="B168" s="62" t="s">
        <v>217</v>
      </c>
      <c r="C168" s="62" t="s">
        <v>496</v>
      </c>
      <c r="D168" s="62" t="s">
        <v>95</v>
      </c>
      <c r="E168" s="62">
        <v>0</v>
      </c>
      <c r="F168" s="62">
        <v>50</v>
      </c>
      <c r="G168" s="62">
        <v>0</v>
      </c>
      <c r="H168" s="40">
        <f t="shared" si="2"/>
        <v>16.666666666666668</v>
      </c>
    </row>
    <row r="169" spans="1:8" x14ac:dyDescent="0.2">
      <c r="A169" s="62">
        <v>4020</v>
      </c>
      <c r="B169" s="62" t="s">
        <v>218</v>
      </c>
      <c r="C169" s="62" t="s">
        <v>432</v>
      </c>
      <c r="D169" s="62" t="s">
        <v>219</v>
      </c>
      <c r="E169" s="62">
        <v>0</v>
      </c>
      <c r="F169" s="62">
        <v>100</v>
      </c>
      <c r="G169" s="62">
        <v>0</v>
      </c>
      <c r="H169" s="40">
        <f t="shared" si="2"/>
        <v>33.333333333333336</v>
      </c>
    </row>
    <row r="170" spans="1:8" x14ac:dyDescent="0.2">
      <c r="A170" s="62">
        <v>4021</v>
      </c>
      <c r="B170" s="62" t="s">
        <v>220</v>
      </c>
      <c r="C170" s="62" t="s">
        <v>421</v>
      </c>
      <c r="D170" s="62" t="s">
        <v>10</v>
      </c>
      <c r="E170" s="62">
        <v>0</v>
      </c>
      <c r="F170" s="62">
        <v>0</v>
      </c>
      <c r="G170" s="62">
        <v>0</v>
      </c>
      <c r="H170" s="40">
        <f t="shared" si="2"/>
        <v>0</v>
      </c>
    </row>
    <row r="171" spans="1:8" x14ac:dyDescent="0.2">
      <c r="A171" s="62">
        <v>4023</v>
      </c>
      <c r="B171" s="62" t="s">
        <v>221</v>
      </c>
      <c r="C171" s="62" t="s">
        <v>429</v>
      </c>
      <c r="D171" s="62" t="s">
        <v>46</v>
      </c>
      <c r="E171" s="62">
        <v>0</v>
      </c>
      <c r="F171" s="62">
        <v>0</v>
      </c>
      <c r="G171" s="62">
        <v>0</v>
      </c>
      <c r="H171" s="40">
        <f t="shared" si="2"/>
        <v>0</v>
      </c>
    </row>
    <row r="172" spans="1:8" x14ac:dyDescent="0.2">
      <c r="A172" s="62">
        <v>4036</v>
      </c>
      <c r="B172" s="62" t="s">
        <v>222</v>
      </c>
      <c r="C172" s="62" t="s">
        <v>429</v>
      </c>
      <c r="D172" s="62" t="s">
        <v>46</v>
      </c>
      <c r="E172" s="62">
        <v>0</v>
      </c>
      <c r="F172" s="62">
        <v>0</v>
      </c>
      <c r="G172" s="62">
        <v>0</v>
      </c>
      <c r="H172" s="40">
        <f t="shared" si="2"/>
        <v>0</v>
      </c>
    </row>
    <row r="173" spans="1:8" x14ac:dyDescent="0.2">
      <c r="A173" s="62">
        <v>4037</v>
      </c>
      <c r="B173" s="62" t="s">
        <v>223</v>
      </c>
      <c r="C173" s="62" t="s">
        <v>421</v>
      </c>
      <c r="D173" s="62" t="s">
        <v>86</v>
      </c>
      <c r="E173" s="62">
        <v>0</v>
      </c>
      <c r="F173" s="62">
        <v>100</v>
      </c>
      <c r="G173" s="62">
        <v>50</v>
      </c>
      <c r="H173" s="40">
        <f t="shared" si="2"/>
        <v>50</v>
      </c>
    </row>
    <row r="174" spans="1:8" x14ac:dyDescent="0.2">
      <c r="A174" s="62">
        <v>4043</v>
      </c>
      <c r="B174" s="62" t="s">
        <v>224</v>
      </c>
      <c r="C174" s="62" t="s">
        <v>500</v>
      </c>
      <c r="D174" s="62" t="s">
        <v>104</v>
      </c>
      <c r="E174" s="62">
        <v>100</v>
      </c>
      <c r="F174" s="62">
        <v>0</v>
      </c>
      <c r="G174" s="62">
        <v>0</v>
      </c>
      <c r="H174" s="40">
        <f t="shared" si="2"/>
        <v>33.333333333333336</v>
      </c>
    </row>
    <row r="175" spans="1:8" x14ac:dyDescent="0.2">
      <c r="A175" s="62">
        <v>4056</v>
      </c>
      <c r="B175" s="62" t="s">
        <v>225</v>
      </c>
      <c r="C175" s="62" t="s">
        <v>421</v>
      </c>
      <c r="D175" s="62" t="s">
        <v>86</v>
      </c>
      <c r="E175" s="62">
        <v>0</v>
      </c>
      <c r="F175" s="62">
        <v>0</v>
      </c>
      <c r="G175" s="62">
        <v>0</v>
      </c>
      <c r="H175" s="40">
        <f t="shared" si="2"/>
        <v>0</v>
      </c>
    </row>
    <row r="176" spans="1:8" x14ac:dyDescent="0.2">
      <c r="A176" s="62">
        <v>4059</v>
      </c>
      <c r="B176" s="62" t="s">
        <v>226</v>
      </c>
      <c r="C176" s="62" t="s">
        <v>500</v>
      </c>
      <c r="D176" s="62" t="s">
        <v>69</v>
      </c>
      <c r="E176" s="62">
        <v>0</v>
      </c>
      <c r="F176" s="62">
        <v>0</v>
      </c>
      <c r="G176" s="62">
        <v>0</v>
      </c>
      <c r="H176" s="40">
        <f t="shared" si="2"/>
        <v>0</v>
      </c>
    </row>
    <row r="177" spans="1:8" x14ac:dyDescent="0.2">
      <c r="A177" s="62">
        <v>4076</v>
      </c>
      <c r="B177" s="62" t="s">
        <v>227</v>
      </c>
      <c r="C177" s="62" t="s">
        <v>421</v>
      </c>
      <c r="D177" s="62" t="s">
        <v>86</v>
      </c>
      <c r="E177" s="62">
        <v>50</v>
      </c>
      <c r="F177" s="62">
        <v>100</v>
      </c>
      <c r="G177" s="62">
        <v>0</v>
      </c>
      <c r="H177" s="40">
        <f t="shared" si="2"/>
        <v>50</v>
      </c>
    </row>
    <row r="178" spans="1:8" x14ac:dyDescent="0.2">
      <c r="A178" s="62">
        <v>4078</v>
      </c>
      <c r="B178" s="62" t="s">
        <v>228</v>
      </c>
      <c r="C178" s="62" t="s">
        <v>500</v>
      </c>
      <c r="D178" s="62" t="s">
        <v>158</v>
      </c>
      <c r="E178" s="62">
        <v>0</v>
      </c>
      <c r="F178" s="62">
        <v>0</v>
      </c>
      <c r="G178" s="62">
        <v>0</v>
      </c>
      <c r="H178" s="40">
        <f t="shared" si="2"/>
        <v>0</v>
      </c>
    </row>
    <row r="179" spans="1:8" x14ac:dyDescent="0.2">
      <c r="A179" s="62">
        <v>4082</v>
      </c>
      <c r="B179" s="62" t="s">
        <v>229</v>
      </c>
      <c r="C179" s="62" t="s">
        <v>421</v>
      </c>
      <c r="D179" s="62" t="s">
        <v>86</v>
      </c>
      <c r="E179" s="62">
        <v>0</v>
      </c>
      <c r="F179" s="62">
        <v>100</v>
      </c>
      <c r="G179" s="62">
        <v>0</v>
      </c>
      <c r="H179" s="40">
        <f t="shared" si="2"/>
        <v>33.333333333333336</v>
      </c>
    </row>
    <row r="180" spans="1:8" x14ac:dyDescent="0.2">
      <c r="A180" s="62">
        <v>4092</v>
      </c>
      <c r="B180" s="62" t="s">
        <v>230</v>
      </c>
      <c r="C180" s="62" t="s">
        <v>421</v>
      </c>
      <c r="D180" s="62" t="s">
        <v>86</v>
      </c>
      <c r="E180" s="62">
        <v>0</v>
      </c>
      <c r="F180" s="62">
        <v>0</v>
      </c>
      <c r="G180" s="62">
        <v>0</v>
      </c>
      <c r="H180" s="40">
        <f t="shared" si="2"/>
        <v>0</v>
      </c>
    </row>
    <row r="181" spans="1:8" x14ac:dyDescent="0.2">
      <c r="A181" s="62">
        <v>4102</v>
      </c>
      <c r="B181" s="62" t="s">
        <v>231</v>
      </c>
      <c r="C181" s="62" t="s">
        <v>495</v>
      </c>
      <c r="D181" s="62" t="s">
        <v>24</v>
      </c>
      <c r="E181" s="62">
        <v>50</v>
      </c>
      <c r="F181" s="62">
        <v>100</v>
      </c>
      <c r="G181" s="62">
        <v>0</v>
      </c>
      <c r="H181" s="40">
        <f t="shared" si="2"/>
        <v>50</v>
      </c>
    </row>
    <row r="182" spans="1:8" x14ac:dyDescent="0.2">
      <c r="A182" s="62">
        <v>4111</v>
      </c>
      <c r="B182" s="62" t="s">
        <v>232</v>
      </c>
      <c r="C182" s="62" t="s">
        <v>421</v>
      </c>
      <c r="D182" s="62" t="s">
        <v>86</v>
      </c>
      <c r="E182" s="62">
        <v>100</v>
      </c>
      <c r="F182" s="62">
        <v>0</v>
      </c>
      <c r="G182" s="62">
        <v>0</v>
      </c>
      <c r="H182" s="40">
        <f t="shared" si="2"/>
        <v>33.333333333333336</v>
      </c>
    </row>
    <row r="183" spans="1:8" x14ac:dyDescent="0.2">
      <c r="A183" s="62">
        <v>4121</v>
      </c>
      <c r="B183" s="62" t="s">
        <v>234</v>
      </c>
      <c r="C183" s="62" t="s">
        <v>496</v>
      </c>
      <c r="D183" s="62" t="s">
        <v>95</v>
      </c>
      <c r="E183" s="62">
        <v>0</v>
      </c>
      <c r="F183" s="62">
        <v>100</v>
      </c>
      <c r="G183" s="62">
        <v>50</v>
      </c>
      <c r="H183" s="40">
        <f t="shared" si="2"/>
        <v>50</v>
      </c>
    </row>
    <row r="184" spans="1:8" x14ac:dyDescent="0.2">
      <c r="A184" s="62">
        <v>4122</v>
      </c>
      <c r="B184" s="62" t="s">
        <v>235</v>
      </c>
      <c r="C184" s="62" t="s">
        <v>421</v>
      </c>
      <c r="D184" s="62" t="s">
        <v>86</v>
      </c>
      <c r="E184" s="62">
        <v>0</v>
      </c>
      <c r="F184" s="62">
        <v>100</v>
      </c>
      <c r="G184" s="62">
        <v>0</v>
      </c>
      <c r="H184" s="40">
        <f t="shared" si="2"/>
        <v>33.333333333333336</v>
      </c>
    </row>
    <row r="185" spans="1:8" x14ac:dyDescent="0.2">
      <c r="A185" s="62">
        <v>4128</v>
      </c>
      <c r="B185" s="62" t="s">
        <v>236</v>
      </c>
      <c r="C185" s="62" t="s">
        <v>421</v>
      </c>
      <c r="D185" s="62" t="s">
        <v>86</v>
      </c>
      <c r="E185" s="62">
        <v>50</v>
      </c>
      <c r="F185" s="62">
        <v>100</v>
      </c>
      <c r="G185" s="62">
        <v>50</v>
      </c>
      <c r="H185" s="40">
        <f t="shared" si="2"/>
        <v>66.666666666666671</v>
      </c>
    </row>
    <row r="186" spans="1:8" x14ac:dyDescent="0.2">
      <c r="A186" s="62">
        <v>4139</v>
      </c>
      <c r="B186" s="62" t="s">
        <v>237</v>
      </c>
      <c r="C186" s="62" t="s">
        <v>496</v>
      </c>
      <c r="D186" s="62" t="s">
        <v>102</v>
      </c>
      <c r="E186" s="62">
        <v>0</v>
      </c>
      <c r="F186" s="62">
        <v>100</v>
      </c>
      <c r="G186" s="62">
        <v>100</v>
      </c>
      <c r="H186" s="40">
        <f t="shared" si="2"/>
        <v>66.666666666666671</v>
      </c>
    </row>
    <row r="187" spans="1:8" x14ac:dyDescent="0.2">
      <c r="A187" s="62">
        <v>4165</v>
      </c>
      <c r="B187" s="62" t="s">
        <v>238</v>
      </c>
      <c r="C187" s="62" t="s">
        <v>421</v>
      </c>
      <c r="D187" s="62" t="s">
        <v>52</v>
      </c>
      <c r="E187" s="62">
        <v>0</v>
      </c>
      <c r="F187" s="62">
        <v>0</v>
      </c>
      <c r="G187" s="62">
        <v>0</v>
      </c>
      <c r="H187" s="40">
        <f t="shared" si="2"/>
        <v>0</v>
      </c>
    </row>
    <row r="188" spans="1:8" x14ac:dyDescent="0.2">
      <c r="A188" s="62">
        <v>4183</v>
      </c>
      <c r="B188" s="62" t="s">
        <v>240</v>
      </c>
      <c r="C188" s="62" t="s">
        <v>422</v>
      </c>
      <c r="D188" s="62" t="s">
        <v>54</v>
      </c>
      <c r="E188" s="62">
        <v>0</v>
      </c>
      <c r="F188" s="62">
        <v>0</v>
      </c>
      <c r="G188" s="62">
        <v>0</v>
      </c>
      <c r="H188" s="40">
        <f t="shared" si="2"/>
        <v>0</v>
      </c>
    </row>
    <row r="189" spans="1:8" x14ac:dyDescent="0.2">
      <c r="A189" s="62">
        <v>4188</v>
      </c>
      <c r="B189" s="62" t="s">
        <v>241</v>
      </c>
      <c r="C189" s="62" t="s">
        <v>421</v>
      </c>
      <c r="D189" s="62" t="s">
        <v>10</v>
      </c>
      <c r="E189" s="62">
        <v>0</v>
      </c>
      <c r="F189" s="62">
        <v>50</v>
      </c>
      <c r="G189" s="62">
        <v>0</v>
      </c>
      <c r="H189" s="40">
        <f t="shared" si="2"/>
        <v>16.666666666666668</v>
      </c>
    </row>
    <row r="190" spans="1:8" x14ac:dyDescent="0.2">
      <c r="A190" s="62">
        <v>4199</v>
      </c>
      <c r="B190" s="62" t="s">
        <v>242</v>
      </c>
      <c r="C190" s="62" t="s">
        <v>429</v>
      </c>
      <c r="D190" s="62" t="s">
        <v>46</v>
      </c>
      <c r="E190" s="62">
        <v>0</v>
      </c>
      <c r="F190" s="62">
        <v>0</v>
      </c>
      <c r="G190" s="62">
        <v>0</v>
      </c>
      <c r="H190" s="40">
        <f t="shared" si="2"/>
        <v>0</v>
      </c>
    </row>
    <row r="191" spans="1:8" x14ac:dyDescent="0.2">
      <c r="A191" s="62">
        <v>4212</v>
      </c>
      <c r="B191" s="62" t="s">
        <v>243</v>
      </c>
      <c r="C191" s="62" t="s">
        <v>421</v>
      </c>
      <c r="D191" s="62" t="s">
        <v>86</v>
      </c>
      <c r="E191" s="62">
        <v>0</v>
      </c>
      <c r="F191" s="62">
        <v>0</v>
      </c>
      <c r="G191" s="62">
        <v>0</v>
      </c>
      <c r="H191" s="40">
        <f t="shared" si="2"/>
        <v>0</v>
      </c>
    </row>
    <row r="192" spans="1:8" x14ac:dyDescent="0.2">
      <c r="A192" s="62">
        <v>4218</v>
      </c>
      <c r="B192" s="62" t="s">
        <v>244</v>
      </c>
      <c r="C192" s="62" t="s">
        <v>421</v>
      </c>
      <c r="D192" s="62" t="s">
        <v>86</v>
      </c>
      <c r="E192" s="62">
        <v>0</v>
      </c>
      <c r="F192" s="62">
        <v>100</v>
      </c>
      <c r="G192" s="62">
        <v>0</v>
      </c>
      <c r="H192" s="40">
        <f t="shared" si="2"/>
        <v>33.333333333333336</v>
      </c>
    </row>
    <row r="193" spans="1:8" x14ac:dyDescent="0.2">
      <c r="A193" s="62">
        <v>4232</v>
      </c>
      <c r="B193" s="62" t="s">
        <v>245</v>
      </c>
      <c r="C193" s="62" t="s">
        <v>421</v>
      </c>
      <c r="D193" s="62" t="s">
        <v>86</v>
      </c>
      <c r="E193" s="62">
        <v>0</v>
      </c>
      <c r="F193" s="62">
        <v>100</v>
      </c>
      <c r="G193" s="62">
        <v>0</v>
      </c>
      <c r="H193" s="40">
        <f t="shared" si="2"/>
        <v>33.333333333333336</v>
      </c>
    </row>
    <row r="194" spans="1:8" x14ac:dyDescent="0.2">
      <c r="A194" s="62">
        <v>4236</v>
      </c>
      <c r="B194" s="62" t="s">
        <v>246</v>
      </c>
      <c r="C194" s="62" t="s">
        <v>421</v>
      </c>
      <c r="D194" s="62" t="s">
        <v>10</v>
      </c>
      <c r="E194" s="62">
        <v>0</v>
      </c>
      <c r="F194" s="62">
        <v>50</v>
      </c>
      <c r="G194" s="62">
        <v>0</v>
      </c>
      <c r="H194" s="40">
        <f t="shared" si="2"/>
        <v>16.666666666666668</v>
      </c>
    </row>
    <row r="195" spans="1:8" x14ac:dyDescent="0.2">
      <c r="A195" s="62">
        <v>4246</v>
      </c>
      <c r="B195" s="62" t="s">
        <v>247</v>
      </c>
      <c r="C195" s="62" t="s">
        <v>421</v>
      </c>
      <c r="D195" s="62" t="s">
        <v>10</v>
      </c>
      <c r="E195" s="62">
        <v>0</v>
      </c>
      <c r="F195" s="62">
        <v>50</v>
      </c>
      <c r="G195" s="62">
        <v>0</v>
      </c>
      <c r="H195" s="40">
        <f t="shared" ref="H195:H258" si="3">AVERAGE(E195:G195)</f>
        <v>16.666666666666668</v>
      </c>
    </row>
    <row r="196" spans="1:8" x14ac:dyDescent="0.2">
      <c r="A196" s="62">
        <v>4262</v>
      </c>
      <c r="B196" s="62" t="s">
        <v>248</v>
      </c>
      <c r="C196" s="62" t="s">
        <v>495</v>
      </c>
      <c r="D196" s="62" t="s">
        <v>24</v>
      </c>
      <c r="E196" s="62">
        <v>50</v>
      </c>
      <c r="F196" s="62">
        <v>100</v>
      </c>
      <c r="G196" s="62">
        <v>0</v>
      </c>
      <c r="H196" s="40">
        <f t="shared" si="3"/>
        <v>50</v>
      </c>
    </row>
    <row r="197" spans="1:8" x14ac:dyDescent="0.2">
      <c r="A197" s="62">
        <v>4263</v>
      </c>
      <c r="B197" s="62" t="s">
        <v>249</v>
      </c>
      <c r="C197" s="62" t="s">
        <v>421</v>
      </c>
      <c r="D197" s="62" t="s">
        <v>86</v>
      </c>
      <c r="E197" s="62">
        <v>100</v>
      </c>
      <c r="F197" s="62">
        <v>100</v>
      </c>
      <c r="G197" s="62">
        <v>0</v>
      </c>
      <c r="H197" s="40">
        <f t="shared" si="3"/>
        <v>66.666666666666671</v>
      </c>
    </row>
    <row r="198" spans="1:8" x14ac:dyDescent="0.2">
      <c r="A198" s="62">
        <v>4264</v>
      </c>
      <c r="B198" s="62" t="s">
        <v>250</v>
      </c>
      <c r="C198" s="62" t="s">
        <v>500</v>
      </c>
      <c r="D198" s="62" t="s">
        <v>52</v>
      </c>
      <c r="E198" s="62">
        <v>0</v>
      </c>
      <c r="F198" s="62">
        <v>0</v>
      </c>
      <c r="G198" s="62">
        <v>0</v>
      </c>
      <c r="H198" s="40">
        <f t="shared" si="3"/>
        <v>0</v>
      </c>
    </row>
    <row r="199" spans="1:8" x14ac:dyDescent="0.2">
      <c r="A199" s="62">
        <v>4284</v>
      </c>
      <c r="B199" s="62" t="s">
        <v>251</v>
      </c>
      <c r="C199" s="62" t="s">
        <v>429</v>
      </c>
      <c r="D199" s="62" t="s">
        <v>46</v>
      </c>
      <c r="E199" s="62">
        <v>0</v>
      </c>
      <c r="F199" s="62">
        <v>0</v>
      </c>
      <c r="G199" s="62">
        <v>0</v>
      </c>
      <c r="H199" s="40">
        <f t="shared" si="3"/>
        <v>0</v>
      </c>
    </row>
    <row r="200" spans="1:8" x14ac:dyDescent="0.2">
      <c r="A200" s="62">
        <v>4285</v>
      </c>
      <c r="B200" s="62" t="s">
        <v>252</v>
      </c>
      <c r="C200" s="62" t="s">
        <v>500</v>
      </c>
      <c r="D200" s="62" t="s">
        <v>158</v>
      </c>
      <c r="E200" s="62">
        <v>0</v>
      </c>
      <c r="F200" s="62">
        <v>0</v>
      </c>
      <c r="G200" s="62">
        <v>0</v>
      </c>
      <c r="H200" s="40">
        <f t="shared" si="3"/>
        <v>0</v>
      </c>
    </row>
    <row r="201" spans="1:8" x14ac:dyDescent="0.2">
      <c r="A201" s="62">
        <v>4286</v>
      </c>
      <c r="B201" s="62" t="s">
        <v>501</v>
      </c>
      <c r="C201" s="62" t="s">
        <v>421</v>
      </c>
      <c r="D201" s="62" t="s">
        <v>10</v>
      </c>
      <c r="E201" s="62">
        <v>0</v>
      </c>
      <c r="F201" s="62">
        <v>0</v>
      </c>
      <c r="G201" s="62">
        <v>0</v>
      </c>
      <c r="H201" s="40">
        <f t="shared" si="3"/>
        <v>0</v>
      </c>
    </row>
    <row r="202" spans="1:8" x14ac:dyDescent="0.2">
      <c r="A202" s="62">
        <v>4295</v>
      </c>
      <c r="B202" s="62" t="s">
        <v>253</v>
      </c>
      <c r="C202" s="62" t="s">
        <v>421</v>
      </c>
      <c r="D202" s="62" t="s">
        <v>10</v>
      </c>
      <c r="E202" s="62">
        <v>0</v>
      </c>
      <c r="F202" s="62">
        <v>0</v>
      </c>
      <c r="G202" s="62">
        <v>50</v>
      </c>
      <c r="H202" s="40">
        <f t="shared" si="3"/>
        <v>16.666666666666668</v>
      </c>
    </row>
    <row r="203" spans="1:8" x14ac:dyDescent="0.2">
      <c r="A203" s="62">
        <v>4298</v>
      </c>
      <c r="B203" s="62" t="s">
        <v>254</v>
      </c>
      <c r="C203" s="62" t="s">
        <v>500</v>
      </c>
      <c r="D203" s="62" t="s">
        <v>104</v>
      </c>
      <c r="E203" s="62">
        <v>0</v>
      </c>
      <c r="F203" s="62">
        <v>0</v>
      </c>
      <c r="G203" s="62">
        <v>0</v>
      </c>
      <c r="H203" s="40">
        <f t="shared" si="3"/>
        <v>0</v>
      </c>
    </row>
    <row r="204" spans="1:8" x14ac:dyDescent="0.2">
      <c r="A204" s="62">
        <v>4302</v>
      </c>
      <c r="B204" s="62" t="s">
        <v>255</v>
      </c>
      <c r="C204" s="62" t="s">
        <v>500</v>
      </c>
      <c r="D204" s="62" t="s">
        <v>158</v>
      </c>
      <c r="E204" s="62">
        <v>0</v>
      </c>
      <c r="F204" s="62">
        <v>0</v>
      </c>
      <c r="G204" s="62">
        <v>0</v>
      </c>
      <c r="H204" s="40">
        <f t="shared" si="3"/>
        <v>0</v>
      </c>
    </row>
    <row r="205" spans="1:8" x14ac:dyDescent="0.2">
      <c r="A205" s="62">
        <v>4308</v>
      </c>
      <c r="B205" s="62" t="s">
        <v>256</v>
      </c>
      <c r="C205" s="62" t="s">
        <v>421</v>
      </c>
      <c r="D205" s="62" t="s">
        <v>61</v>
      </c>
      <c r="E205" s="62">
        <v>0</v>
      </c>
      <c r="F205" s="62">
        <v>100</v>
      </c>
      <c r="G205" s="62">
        <v>0</v>
      </c>
      <c r="H205" s="40">
        <f t="shared" si="3"/>
        <v>33.333333333333336</v>
      </c>
    </row>
    <row r="206" spans="1:8" x14ac:dyDescent="0.2">
      <c r="A206" s="62">
        <v>4312</v>
      </c>
      <c r="B206" s="62" t="s">
        <v>257</v>
      </c>
      <c r="C206" s="62" t="s">
        <v>421</v>
      </c>
      <c r="D206" s="62" t="s">
        <v>86</v>
      </c>
      <c r="E206" s="62">
        <v>0</v>
      </c>
      <c r="F206" s="62">
        <v>100</v>
      </c>
      <c r="G206" s="62">
        <v>100</v>
      </c>
      <c r="H206" s="40">
        <f t="shared" si="3"/>
        <v>66.666666666666671</v>
      </c>
    </row>
    <row r="207" spans="1:8" x14ac:dyDescent="0.2">
      <c r="A207" s="62">
        <v>4320</v>
      </c>
      <c r="B207" s="62" t="s">
        <v>258</v>
      </c>
      <c r="C207" s="62" t="s">
        <v>429</v>
      </c>
      <c r="D207" s="62" t="s">
        <v>46</v>
      </c>
      <c r="E207" s="62">
        <v>0</v>
      </c>
      <c r="F207" s="62">
        <v>0</v>
      </c>
      <c r="G207" s="62">
        <v>0</v>
      </c>
      <c r="H207" s="40">
        <f t="shared" si="3"/>
        <v>0</v>
      </c>
    </row>
    <row r="208" spans="1:8" x14ac:dyDescent="0.2">
      <c r="A208" s="62">
        <v>4321</v>
      </c>
      <c r="B208" s="62" t="s">
        <v>259</v>
      </c>
      <c r="C208" s="62" t="s">
        <v>432</v>
      </c>
      <c r="D208" s="62" t="s">
        <v>219</v>
      </c>
      <c r="E208" s="62">
        <v>0</v>
      </c>
      <c r="F208" s="62">
        <v>100</v>
      </c>
      <c r="G208" s="62">
        <v>100</v>
      </c>
      <c r="H208" s="40">
        <f t="shared" si="3"/>
        <v>66.666666666666671</v>
      </c>
    </row>
    <row r="209" spans="1:8" x14ac:dyDescent="0.2">
      <c r="A209" s="62">
        <v>4330</v>
      </c>
      <c r="B209" s="62" t="s">
        <v>260</v>
      </c>
      <c r="C209" s="62" t="s">
        <v>429</v>
      </c>
      <c r="D209" s="62" t="s">
        <v>46</v>
      </c>
      <c r="E209" s="62">
        <v>0</v>
      </c>
      <c r="F209" s="62">
        <v>0</v>
      </c>
      <c r="G209" s="62">
        <v>0</v>
      </c>
      <c r="H209" s="40">
        <f t="shared" si="3"/>
        <v>0</v>
      </c>
    </row>
    <row r="210" spans="1:8" x14ac:dyDescent="0.2">
      <c r="A210" s="62">
        <v>4337</v>
      </c>
      <c r="B210" s="62" t="s">
        <v>261</v>
      </c>
      <c r="C210" s="62" t="s">
        <v>421</v>
      </c>
      <c r="D210" s="62" t="s">
        <v>86</v>
      </c>
      <c r="E210" s="62">
        <v>0</v>
      </c>
      <c r="F210" s="62">
        <v>100</v>
      </c>
      <c r="G210" s="62">
        <v>50</v>
      </c>
      <c r="H210" s="40">
        <f t="shared" si="3"/>
        <v>50</v>
      </c>
    </row>
    <row r="211" spans="1:8" x14ac:dyDescent="0.2">
      <c r="A211" s="62">
        <v>4350</v>
      </c>
      <c r="B211" s="62" t="s">
        <v>262</v>
      </c>
      <c r="C211" s="62" t="s">
        <v>429</v>
      </c>
      <c r="D211" s="62" t="s">
        <v>46</v>
      </c>
      <c r="E211" s="62">
        <v>0</v>
      </c>
      <c r="F211" s="62">
        <v>0</v>
      </c>
      <c r="G211" s="62">
        <v>0</v>
      </c>
      <c r="H211" s="40">
        <f t="shared" si="3"/>
        <v>0</v>
      </c>
    </row>
    <row r="212" spans="1:8" x14ac:dyDescent="0.2">
      <c r="A212" s="62">
        <v>4353</v>
      </c>
      <c r="B212" s="62" t="s">
        <v>263</v>
      </c>
      <c r="C212" s="62" t="s">
        <v>421</v>
      </c>
      <c r="D212" s="62" t="s">
        <v>61</v>
      </c>
      <c r="E212" s="62">
        <v>0</v>
      </c>
      <c r="F212" s="62">
        <v>50</v>
      </c>
      <c r="G212" s="62">
        <v>0</v>
      </c>
      <c r="H212" s="40">
        <f t="shared" si="3"/>
        <v>16.666666666666668</v>
      </c>
    </row>
    <row r="213" spans="1:8" x14ac:dyDescent="0.2">
      <c r="A213" s="62">
        <v>4364</v>
      </c>
      <c r="B213" s="62" t="s">
        <v>264</v>
      </c>
      <c r="C213" s="62" t="s">
        <v>421</v>
      </c>
      <c r="D213" s="62" t="s">
        <v>10</v>
      </c>
      <c r="E213" s="62">
        <v>0</v>
      </c>
      <c r="F213" s="62">
        <v>100</v>
      </c>
      <c r="G213" s="62">
        <v>0</v>
      </c>
      <c r="H213" s="40">
        <f t="shared" si="3"/>
        <v>33.333333333333336</v>
      </c>
    </row>
    <row r="214" spans="1:8" x14ac:dyDescent="0.2">
      <c r="A214" s="62">
        <v>4372</v>
      </c>
      <c r="B214" s="62" t="s">
        <v>265</v>
      </c>
      <c r="C214" s="62" t="s">
        <v>422</v>
      </c>
      <c r="D214" s="62" t="s">
        <v>54</v>
      </c>
      <c r="E214" s="62">
        <v>0</v>
      </c>
      <c r="F214" s="62">
        <v>100</v>
      </c>
      <c r="G214" s="62">
        <v>50</v>
      </c>
      <c r="H214" s="40">
        <f t="shared" si="3"/>
        <v>50</v>
      </c>
    </row>
    <row r="215" spans="1:8" x14ac:dyDescent="0.2">
      <c r="A215" s="62">
        <v>4373</v>
      </c>
      <c r="B215" s="62" t="s">
        <v>266</v>
      </c>
      <c r="C215" s="62" t="s">
        <v>429</v>
      </c>
      <c r="D215" s="62" t="s">
        <v>46</v>
      </c>
      <c r="E215" s="62">
        <v>0</v>
      </c>
      <c r="F215" s="62">
        <v>0</v>
      </c>
      <c r="G215" s="62">
        <v>0</v>
      </c>
      <c r="H215" s="40">
        <f t="shared" si="3"/>
        <v>0</v>
      </c>
    </row>
    <row r="216" spans="1:8" x14ac:dyDescent="0.2">
      <c r="A216" s="62">
        <v>4380</v>
      </c>
      <c r="B216" s="62" t="s">
        <v>443</v>
      </c>
      <c r="C216" s="62" t="s">
        <v>500</v>
      </c>
      <c r="D216" s="62" t="s">
        <v>104</v>
      </c>
      <c r="E216" s="62">
        <v>50</v>
      </c>
      <c r="F216" s="62">
        <v>100</v>
      </c>
      <c r="G216" s="62">
        <v>50</v>
      </c>
      <c r="H216" s="40">
        <f t="shared" si="3"/>
        <v>66.666666666666671</v>
      </c>
    </row>
    <row r="217" spans="1:8" x14ac:dyDescent="0.2">
      <c r="A217" s="62">
        <v>4401</v>
      </c>
      <c r="B217" s="62" t="s">
        <v>267</v>
      </c>
      <c r="C217" s="62" t="s">
        <v>424</v>
      </c>
      <c r="D217" s="62" t="s">
        <v>143</v>
      </c>
      <c r="E217" s="62">
        <v>100</v>
      </c>
      <c r="F217" s="62">
        <v>100</v>
      </c>
      <c r="G217" s="62">
        <v>100</v>
      </c>
      <c r="H217" s="40">
        <f t="shared" si="3"/>
        <v>100</v>
      </c>
    </row>
    <row r="218" spans="1:8" x14ac:dyDescent="0.2">
      <c r="A218" s="62">
        <v>4402</v>
      </c>
      <c r="B218" s="62" t="s">
        <v>268</v>
      </c>
      <c r="C218" s="62" t="s">
        <v>500</v>
      </c>
      <c r="D218" s="62" t="s">
        <v>269</v>
      </c>
      <c r="E218" s="62">
        <v>0</v>
      </c>
      <c r="F218" s="62">
        <v>100</v>
      </c>
      <c r="G218" s="62">
        <v>100</v>
      </c>
      <c r="H218" s="40">
        <f t="shared" si="3"/>
        <v>66.666666666666671</v>
      </c>
    </row>
    <row r="219" spans="1:8" x14ac:dyDescent="0.2">
      <c r="A219" s="62">
        <v>4414</v>
      </c>
      <c r="B219" s="62" t="s">
        <v>270</v>
      </c>
      <c r="C219" s="62" t="s">
        <v>422</v>
      </c>
      <c r="D219" s="62" t="s">
        <v>54</v>
      </c>
      <c r="E219" s="62">
        <v>0</v>
      </c>
      <c r="F219" s="62">
        <v>50</v>
      </c>
      <c r="G219" s="62">
        <v>0</v>
      </c>
      <c r="H219" s="40">
        <f t="shared" si="3"/>
        <v>16.666666666666668</v>
      </c>
    </row>
    <row r="220" spans="1:8" x14ac:dyDescent="0.2">
      <c r="A220" s="62">
        <v>4416</v>
      </c>
      <c r="B220" s="62" t="s">
        <v>271</v>
      </c>
      <c r="C220" s="62" t="s">
        <v>421</v>
      </c>
      <c r="D220" s="62" t="s">
        <v>10</v>
      </c>
      <c r="E220" s="62">
        <v>0</v>
      </c>
      <c r="F220" s="62">
        <v>0</v>
      </c>
      <c r="G220" s="62">
        <v>0</v>
      </c>
      <c r="H220" s="40">
        <f t="shared" si="3"/>
        <v>0</v>
      </c>
    </row>
    <row r="221" spans="1:8" x14ac:dyDescent="0.2">
      <c r="A221" s="62">
        <v>4424</v>
      </c>
      <c r="B221" s="62" t="s">
        <v>272</v>
      </c>
      <c r="C221" s="62" t="s">
        <v>421</v>
      </c>
      <c r="D221" s="62" t="s">
        <v>10</v>
      </c>
      <c r="E221" s="62">
        <v>50</v>
      </c>
      <c r="F221" s="62">
        <v>100</v>
      </c>
      <c r="G221" s="62">
        <v>0</v>
      </c>
      <c r="H221" s="40">
        <f t="shared" si="3"/>
        <v>50</v>
      </c>
    </row>
    <row r="222" spans="1:8" x14ac:dyDescent="0.2">
      <c r="A222" s="62">
        <v>4431</v>
      </c>
      <c r="B222" s="62" t="s">
        <v>273</v>
      </c>
      <c r="C222" s="62" t="s">
        <v>429</v>
      </c>
      <c r="D222" s="62" t="s">
        <v>46</v>
      </c>
      <c r="E222" s="62">
        <v>0</v>
      </c>
      <c r="F222" s="62">
        <v>50</v>
      </c>
      <c r="G222" s="62">
        <v>0</v>
      </c>
      <c r="H222" s="40">
        <f t="shared" si="3"/>
        <v>16.666666666666668</v>
      </c>
    </row>
    <row r="223" spans="1:8" x14ac:dyDescent="0.2">
      <c r="A223" s="62">
        <v>4434</v>
      </c>
      <c r="B223" s="62" t="s">
        <v>274</v>
      </c>
      <c r="C223" s="62" t="s">
        <v>431</v>
      </c>
      <c r="D223" s="62" t="s">
        <v>125</v>
      </c>
      <c r="E223" s="62">
        <v>100</v>
      </c>
      <c r="F223" s="62">
        <v>50</v>
      </c>
      <c r="G223" s="62">
        <v>0</v>
      </c>
      <c r="H223" s="40">
        <f t="shared" si="3"/>
        <v>50</v>
      </c>
    </row>
    <row r="224" spans="1:8" x14ac:dyDescent="0.2">
      <c r="A224" s="62">
        <v>4483</v>
      </c>
      <c r="B224" s="62" t="s">
        <v>275</v>
      </c>
      <c r="C224" s="62" t="s">
        <v>422</v>
      </c>
      <c r="D224" s="62" t="s">
        <v>54</v>
      </c>
      <c r="E224" s="62">
        <v>0</v>
      </c>
      <c r="F224" s="62">
        <v>0</v>
      </c>
      <c r="G224" s="62">
        <v>0</v>
      </c>
      <c r="H224" s="40">
        <f t="shared" si="3"/>
        <v>0</v>
      </c>
    </row>
    <row r="225" spans="1:8" x14ac:dyDescent="0.2">
      <c r="A225" s="62">
        <v>4502</v>
      </c>
      <c r="B225" s="62" t="s">
        <v>276</v>
      </c>
      <c r="C225" s="62" t="s">
        <v>432</v>
      </c>
      <c r="D225" s="62" t="s">
        <v>219</v>
      </c>
      <c r="E225" s="62">
        <v>0</v>
      </c>
      <c r="F225" s="62">
        <v>0</v>
      </c>
      <c r="G225" s="62">
        <v>0</v>
      </c>
      <c r="H225" s="40">
        <f t="shared" si="3"/>
        <v>0</v>
      </c>
    </row>
    <row r="226" spans="1:8" x14ac:dyDescent="0.2">
      <c r="A226" s="62">
        <v>4503</v>
      </c>
      <c r="B226" s="62" t="s">
        <v>277</v>
      </c>
      <c r="C226" s="62" t="s">
        <v>421</v>
      </c>
      <c r="D226" s="62" t="s">
        <v>61</v>
      </c>
      <c r="E226" s="62">
        <v>0</v>
      </c>
      <c r="F226" s="62">
        <v>50</v>
      </c>
      <c r="G226" s="62">
        <v>0</v>
      </c>
      <c r="H226" s="40">
        <f t="shared" si="3"/>
        <v>16.666666666666668</v>
      </c>
    </row>
    <row r="227" spans="1:8" x14ac:dyDescent="0.2">
      <c r="A227" s="62">
        <v>4508</v>
      </c>
      <c r="B227" s="62" t="s">
        <v>279</v>
      </c>
      <c r="C227" s="62" t="s">
        <v>421</v>
      </c>
      <c r="D227" s="62" t="s">
        <v>10</v>
      </c>
      <c r="E227" s="62">
        <v>0</v>
      </c>
      <c r="F227" s="62">
        <v>100</v>
      </c>
      <c r="G227" s="62">
        <v>0</v>
      </c>
      <c r="H227" s="40">
        <f t="shared" si="3"/>
        <v>33.333333333333336</v>
      </c>
    </row>
    <row r="228" spans="1:8" x14ac:dyDescent="0.2">
      <c r="A228" s="62">
        <v>4509</v>
      </c>
      <c r="B228" s="62" t="s">
        <v>280</v>
      </c>
      <c r="C228" s="62" t="s">
        <v>421</v>
      </c>
      <c r="D228" s="62" t="s">
        <v>10</v>
      </c>
      <c r="E228" s="62">
        <v>0</v>
      </c>
      <c r="F228" s="62">
        <v>50</v>
      </c>
      <c r="G228" s="62">
        <v>0</v>
      </c>
      <c r="H228" s="40">
        <f t="shared" si="3"/>
        <v>16.666666666666668</v>
      </c>
    </row>
    <row r="229" spans="1:8" x14ac:dyDescent="0.2">
      <c r="A229" s="62">
        <v>4530</v>
      </c>
      <c r="B229" s="62" t="s">
        <v>281</v>
      </c>
      <c r="C229" s="62" t="s">
        <v>421</v>
      </c>
      <c r="D229" s="62" t="s">
        <v>44</v>
      </c>
      <c r="E229" s="62">
        <v>100</v>
      </c>
      <c r="F229" s="62">
        <v>100</v>
      </c>
      <c r="G229" s="62">
        <v>0</v>
      </c>
      <c r="H229" s="40">
        <f t="shared" si="3"/>
        <v>66.666666666666671</v>
      </c>
    </row>
    <row r="230" spans="1:8" x14ac:dyDescent="0.2">
      <c r="A230" s="62">
        <v>4548</v>
      </c>
      <c r="B230" s="62" t="s">
        <v>282</v>
      </c>
      <c r="C230" s="62" t="s">
        <v>495</v>
      </c>
      <c r="D230" s="62" t="s">
        <v>24</v>
      </c>
      <c r="E230" s="62">
        <v>100</v>
      </c>
      <c r="F230" s="62">
        <v>100</v>
      </c>
      <c r="G230" s="62">
        <v>100</v>
      </c>
      <c r="H230" s="40">
        <f t="shared" si="3"/>
        <v>100</v>
      </c>
    </row>
    <row r="231" spans="1:8" x14ac:dyDescent="0.2">
      <c r="A231" s="62">
        <v>4567</v>
      </c>
      <c r="B231" s="62" t="s">
        <v>283</v>
      </c>
      <c r="C231" s="62" t="s">
        <v>421</v>
      </c>
      <c r="D231" s="62" t="s">
        <v>10</v>
      </c>
      <c r="E231" s="62">
        <v>0</v>
      </c>
      <c r="F231" s="62">
        <v>0</v>
      </c>
      <c r="G231" s="62">
        <v>0</v>
      </c>
      <c r="H231" s="40">
        <f t="shared" si="3"/>
        <v>0</v>
      </c>
    </row>
    <row r="232" spans="1:8" x14ac:dyDescent="0.2">
      <c r="A232" s="62">
        <v>4713</v>
      </c>
      <c r="B232" s="62" t="s">
        <v>284</v>
      </c>
      <c r="C232" s="62" t="s">
        <v>421</v>
      </c>
      <c r="D232" s="62" t="s">
        <v>10</v>
      </c>
      <c r="E232" s="62">
        <v>0</v>
      </c>
      <c r="F232" s="62">
        <v>0</v>
      </c>
      <c r="G232" s="62">
        <v>0</v>
      </c>
      <c r="H232" s="40">
        <f t="shared" si="3"/>
        <v>0</v>
      </c>
    </row>
    <row r="233" spans="1:8" x14ac:dyDescent="0.2">
      <c r="A233" s="62">
        <v>4726</v>
      </c>
      <c r="B233" s="62" t="s">
        <v>285</v>
      </c>
      <c r="C233" s="62" t="s">
        <v>422</v>
      </c>
      <c r="D233" s="62" t="s">
        <v>54</v>
      </c>
      <c r="E233" s="62">
        <v>0</v>
      </c>
      <c r="F233" s="62">
        <v>0</v>
      </c>
      <c r="G233" s="62">
        <v>0</v>
      </c>
      <c r="H233" s="40">
        <f t="shared" si="3"/>
        <v>0</v>
      </c>
    </row>
    <row r="234" spans="1:8" x14ac:dyDescent="0.2">
      <c r="A234" s="62">
        <v>4753</v>
      </c>
      <c r="B234" s="62" t="s">
        <v>286</v>
      </c>
      <c r="C234" s="62" t="s">
        <v>429</v>
      </c>
      <c r="D234" s="62" t="s">
        <v>46</v>
      </c>
      <c r="E234" s="62">
        <v>0</v>
      </c>
      <c r="F234" s="62">
        <v>0</v>
      </c>
      <c r="G234" s="62">
        <v>0</v>
      </c>
      <c r="H234" s="40">
        <f t="shared" si="3"/>
        <v>0</v>
      </c>
    </row>
    <row r="235" spans="1:8" x14ac:dyDescent="0.2">
      <c r="A235" s="62">
        <v>4754</v>
      </c>
      <c r="B235" s="62" t="s">
        <v>287</v>
      </c>
      <c r="C235" s="62" t="s">
        <v>429</v>
      </c>
      <c r="D235" s="62" t="s">
        <v>46</v>
      </c>
      <c r="E235" s="62">
        <v>0</v>
      </c>
      <c r="F235" s="62">
        <v>0</v>
      </c>
      <c r="G235" s="62">
        <v>0</v>
      </c>
      <c r="H235" s="40">
        <f t="shared" si="3"/>
        <v>0</v>
      </c>
    </row>
    <row r="236" spans="1:8" x14ac:dyDescent="0.2">
      <c r="A236" s="62">
        <v>4805</v>
      </c>
      <c r="B236" s="62" t="s">
        <v>290</v>
      </c>
      <c r="C236" s="62" t="s">
        <v>495</v>
      </c>
      <c r="D236" s="62" t="s">
        <v>24</v>
      </c>
      <c r="E236" s="62">
        <v>0</v>
      </c>
      <c r="F236" s="62">
        <v>0</v>
      </c>
      <c r="G236" s="62">
        <v>0</v>
      </c>
      <c r="H236" s="40">
        <f t="shared" si="3"/>
        <v>0</v>
      </c>
    </row>
    <row r="237" spans="1:8" x14ac:dyDescent="0.2">
      <c r="A237" s="62">
        <v>4806</v>
      </c>
      <c r="B237" s="62" t="s">
        <v>291</v>
      </c>
      <c r="C237" s="62" t="s">
        <v>495</v>
      </c>
      <c r="D237" s="62" t="s">
        <v>12</v>
      </c>
      <c r="E237" s="62">
        <v>100</v>
      </c>
      <c r="F237" s="62">
        <v>100</v>
      </c>
      <c r="G237" s="62">
        <v>50</v>
      </c>
      <c r="H237" s="40">
        <f t="shared" si="3"/>
        <v>83.333333333333329</v>
      </c>
    </row>
    <row r="238" spans="1:8" x14ac:dyDescent="0.2">
      <c r="A238" s="62">
        <v>5022</v>
      </c>
      <c r="B238" s="62" t="s">
        <v>292</v>
      </c>
      <c r="C238" s="62" t="s">
        <v>421</v>
      </c>
      <c r="D238" s="62" t="s">
        <v>10</v>
      </c>
      <c r="E238" s="62">
        <v>0</v>
      </c>
      <c r="F238" s="62">
        <v>100</v>
      </c>
      <c r="G238" s="62">
        <v>0</v>
      </c>
      <c r="H238" s="40">
        <f t="shared" si="3"/>
        <v>33.333333333333336</v>
      </c>
    </row>
    <row r="239" spans="1:8" x14ac:dyDescent="0.2">
      <c r="A239" s="62">
        <v>5033</v>
      </c>
      <c r="B239" s="62" t="s">
        <v>293</v>
      </c>
      <c r="C239" s="62" t="s">
        <v>500</v>
      </c>
      <c r="D239" s="62" t="s">
        <v>158</v>
      </c>
      <c r="E239" s="62">
        <v>0</v>
      </c>
      <c r="F239" s="62">
        <v>100</v>
      </c>
      <c r="G239" s="62">
        <v>0</v>
      </c>
      <c r="H239" s="40">
        <f t="shared" si="3"/>
        <v>33.333333333333336</v>
      </c>
    </row>
    <row r="240" spans="1:8" x14ac:dyDescent="0.2">
      <c r="A240" s="62">
        <v>5039</v>
      </c>
      <c r="B240" s="62" t="s">
        <v>294</v>
      </c>
      <c r="C240" s="62" t="s">
        <v>421</v>
      </c>
      <c r="D240" s="62" t="s">
        <v>86</v>
      </c>
      <c r="E240" s="62">
        <v>0</v>
      </c>
      <c r="F240" s="62">
        <v>0</v>
      </c>
      <c r="G240" s="62">
        <v>0</v>
      </c>
      <c r="H240" s="40">
        <f t="shared" si="3"/>
        <v>0</v>
      </c>
    </row>
    <row r="241" spans="1:8" x14ac:dyDescent="0.2">
      <c r="A241" s="62">
        <v>5041</v>
      </c>
      <c r="B241" s="62" t="s">
        <v>295</v>
      </c>
      <c r="C241" s="62" t="s">
        <v>421</v>
      </c>
      <c r="D241" s="62" t="s">
        <v>61</v>
      </c>
      <c r="E241" s="62">
        <v>0</v>
      </c>
      <c r="F241" s="62">
        <v>100</v>
      </c>
      <c r="G241" s="62">
        <v>0</v>
      </c>
      <c r="H241" s="40">
        <f t="shared" si="3"/>
        <v>33.333333333333336</v>
      </c>
    </row>
    <row r="242" spans="1:8" x14ac:dyDescent="0.2">
      <c r="A242" s="62">
        <v>5045</v>
      </c>
      <c r="B242" s="62" t="s">
        <v>296</v>
      </c>
      <c r="C242" s="62" t="s">
        <v>422</v>
      </c>
      <c r="D242" s="62" t="s">
        <v>54</v>
      </c>
      <c r="E242" s="62">
        <v>0</v>
      </c>
      <c r="F242" s="62">
        <v>0</v>
      </c>
      <c r="G242" s="62">
        <v>0</v>
      </c>
      <c r="H242" s="40">
        <f t="shared" si="3"/>
        <v>0</v>
      </c>
    </row>
    <row r="243" spans="1:8" x14ac:dyDescent="0.2">
      <c r="A243" s="62">
        <v>5046</v>
      </c>
      <c r="B243" s="62" t="s">
        <v>297</v>
      </c>
      <c r="C243" s="62" t="s">
        <v>421</v>
      </c>
      <c r="D243" s="62" t="s">
        <v>86</v>
      </c>
      <c r="E243" s="62">
        <v>0</v>
      </c>
      <c r="F243" s="62">
        <v>50</v>
      </c>
      <c r="G243" s="62">
        <v>0</v>
      </c>
      <c r="H243" s="40">
        <f t="shared" si="3"/>
        <v>16.666666666666668</v>
      </c>
    </row>
    <row r="244" spans="1:8" x14ac:dyDescent="0.2">
      <c r="A244" s="62">
        <v>5055</v>
      </c>
      <c r="B244" s="62" t="s">
        <v>298</v>
      </c>
      <c r="C244" s="62" t="s">
        <v>422</v>
      </c>
      <c r="D244" s="62" t="s">
        <v>54</v>
      </c>
      <c r="E244" s="62">
        <v>50</v>
      </c>
      <c r="F244" s="62">
        <v>0</v>
      </c>
      <c r="G244" s="62">
        <v>0</v>
      </c>
      <c r="H244" s="40">
        <f t="shared" si="3"/>
        <v>16.666666666666668</v>
      </c>
    </row>
    <row r="245" spans="1:8" x14ac:dyDescent="0.2">
      <c r="A245" s="62">
        <v>5058</v>
      </c>
      <c r="B245" s="62" t="s">
        <v>299</v>
      </c>
      <c r="C245" s="62" t="s">
        <v>421</v>
      </c>
      <c r="D245" s="62" t="s">
        <v>61</v>
      </c>
      <c r="E245" s="62">
        <v>50</v>
      </c>
      <c r="F245" s="62">
        <v>0</v>
      </c>
      <c r="G245" s="62">
        <v>0</v>
      </c>
      <c r="H245" s="40">
        <f t="shared" si="3"/>
        <v>16.666666666666668</v>
      </c>
    </row>
    <row r="246" spans="1:8" x14ac:dyDescent="0.2">
      <c r="A246" s="62">
        <v>5059</v>
      </c>
      <c r="B246" s="62" t="s">
        <v>300</v>
      </c>
      <c r="C246" s="62" t="s">
        <v>500</v>
      </c>
      <c r="D246" s="62" t="s">
        <v>104</v>
      </c>
      <c r="E246" s="62">
        <v>0</v>
      </c>
      <c r="F246" s="62">
        <v>0</v>
      </c>
      <c r="G246" s="62">
        <v>50</v>
      </c>
      <c r="H246" s="40">
        <f t="shared" si="3"/>
        <v>16.666666666666668</v>
      </c>
    </row>
    <row r="247" spans="1:8" x14ac:dyDescent="0.2">
      <c r="A247" s="62">
        <v>5078</v>
      </c>
      <c r="B247" s="62" t="s">
        <v>301</v>
      </c>
      <c r="C247" s="62" t="s">
        <v>421</v>
      </c>
      <c r="D247" s="62" t="s">
        <v>86</v>
      </c>
      <c r="E247" s="62">
        <v>50</v>
      </c>
      <c r="F247" s="62">
        <v>50</v>
      </c>
      <c r="G247" s="62">
        <v>0</v>
      </c>
      <c r="H247" s="40">
        <f t="shared" si="3"/>
        <v>33.333333333333336</v>
      </c>
    </row>
    <row r="248" spans="1:8" x14ac:dyDescent="0.2">
      <c r="A248" s="62">
        <v>5083</v>
      </c>
      <c r="B248" s="62" t="s">
        <v>302</v>
      </c>
      <c r="C248" s="62" t="s">
        <v>500</v>
      </c>
      <c r="D248" s="62" t="s">
        <v>104</v>
      </c>
      <c r="E248" s="62">
        <v>0</v>
      </c>
      <c r="F248" s="62">
        <v>0</v>
      </c>
      <c r="G248" s="62">
        <v>0</v>
      </c>
      <c r="H248" s="40">
        <f t="shared" si="3"/>
        <v>0</v>
      </c>
    </row>
    <row r="249" spans="1:8" x14ac:dyDescent="0.2">
      <c r="A249" s="62">
        <v>5084</v>
      </c>
      <c r="B249" s="62" t="s">
        <v>303</v>
      </c>
      <c r="C249" s="62" t="s">
        <v>495</v>
      </c>
      <c r="D249" s="62" t="s">
        <v>24</v>
      </c>
      <c r="E249" s="62">
        <v>0</v>
      </c>
      <c r="F249" s="62">
        <v>0</v>
      </c>
      <c r="G249" s="62">
        <v>0</v>
      </c>
      <c r="H249" s="40">
        <f t="shared" si="3"/>
        <v>0</v>
      </c>
    </row>
    <row r="250" spans="1:8" x14ac:dyDescent="0.2">
      <c r="A250" s="62">
        <v>5092</v>
      </c>
      <c r="B250" s="62" t="s">
        <v>304</v>
      </c>
      <c r="C250" s="62" t="s">
        <v>422</v>
      </c>
      <c r="D250" s="62" t="s">
        <v>24</v>
      </c>
      <c r="E250" s="62">
        <v>0</v>
      </c>
      <c r="F250" s="62">
        <v>0</v>
      </c>
      <c r="G250" s="62">
        <v>0</v>
      </c>
      <c r="H250" s="40">
        <f t="shared" si="3"/>
        <v>0</v>
      </c>
    </row>
    <row r="251" spans="1:8" x14ac:dyDescent="0.2">
      <c r="A251" s="62">
        <v>5097</v>
      </c>
      <c r="B251" s="62" t="s">
        <v>502</v>
      </c>
      <c r="C251" s="62" t="s">
        <v>421</v>
      </c>
      <c r="D251" s="62" t="s">
        <v>86</v>
      </c>
      <c r="E251" s="62">
        <v>0</v>
      </c>
      <c r="F251" s="62">
        <v>0</v>
      </c>
      <c r="G251" s="62">
        <v>0</v>
      </c>
      <c r="H251" s="40">
        <f t="shared" si="3"/>
        <v>0</v>
      </c>
    </row>
    <row r="252" spans="1:8" x14ac:dyDescent="0.2">
      <c r="A252" s="62">
        <v>5105</v>
      </c>
      <c r="B252" s="62" t="s">
        <v>305</v>
      </c>
      <c r="C252" s="62" t="s">
        <v>421</v>
      </c>
      <c r="D252" s="62" t="s">
        <v>10</v>
      </c>
      <c r="E252" s="62">
        <v>0</v>
      </c>
      <c r="F252" s="62">
        <v>0</v>
      </c>
      <c r="G252" s="62">
        <v>0</v>
      </c>
      <c r="H252" s="40">
        <f t="shared" si="3"/>
        <v>0</v>
      </c>
    </row>
    <row r="253" spans="1:8" x14ac:dyDescent="0.2">
      <c r="A253" s="62">
        <v>5118</v>
      </c>
      <c r="B253" s="62" t="s">
        <v>306</v>
      </c>
      <c r="C253" s="62" t="s">
        <v>421</v>
      </c>
      <c r="D253" s="62" t="s">
        <v>86</v>
      </c>
      <c r="E253" s="62">
        <v>0</v>
      </c>
      <c r="F253" s="62">
        <v>50</v>
      </c>
      <c r="G253" s="62">
        <v>0</v>
      </c>
      <c r="H253" s="40">
        <f t="shared" si="3"/>
        <v>16.666666666666668</v>
      </c>
    </row>
    <row r="254" spans="1:8" x14ac:dyDescent="0.2">
      <c r="A254" s="62">
        <v>5125</v>
      </c>
      <c r="B254" s="62" t="s">
        <v>307</v>
      </c>
      <c r="C254" s="62" t="s">
        <v>421</v>
      </c>
      <c r="D254" s="62" t="s">
        <v>86</v>
      </c>
      <c r="E254" s="62">
        <v>0</v>
      </c>
      <c r="F254" s="62">
        <v>0</v>
      </c>
      <c r="G254" s="62">
        <v>0</v>
      </c>
      <c r="H254" s="40">
        <f t="shared" si="3"/>
        <v>0</v>
      </c>
    </row>
    <row r="255" spans="1:8" x14ac:dyDescent="0.2">
      <c r="A255" s="62">
        <v>5126</v>
      </c>
      <c r="B255" s="62" t="s">
        <v>308</v>
      </c>
      <c r="C255" s="62" t="s">
        <v>421</v>
      </c>
      <c r="D255" s="62" t="s">
        <v>86</v>
      </c>
      <c r="E255" s="62">
        <v>0</v>
      </c>
      <c r="F255" s="62">
        <v>0</v>
      </c>
      <c r="G255" s="62">
        <v>0</v>
      </c>
      <c r="H255" s="40">
        <f t="shared" si="3"/>
        <v>0</v>
      </c>
    </row>
    <row r="256" spans="1:8" x14ac:dyDescent="0.2">
      <c r="A256" s="62">
        <v>5127</v>
      </c>
      <c r="B256" s="62" t="s">
        <v>309</v>
      </c>
      <c r="C256" s="62" t="s">
        <v>421</v>
      </c>
      <c r="D256" s="62" t="s">
        <v>86</v>
      </c>
      <c r="E256" s="62">
        <v>0</v>
      </c>
      <c r="F256" s="62">
        <v>50</v>
      </c>
      <c r="G256" s="62">
        <v>0</v>
      </c>
      <c r="H256" s="40">
        <f t="shared" si="3"/>
        <v>16.666666666666668</v>
      </c>
    </row>
    <row r="257" spans="1:8" x14ac:dyDescent="0.2">
      <c r="A257" s="62">
        <v>5129</v>
      </c>
      <c r="B257" s="62" t="s">
        <v>310</v>
      </c>
      <c r="C257" s="62" t="s">
        <v>422</v>
      </c>
      <c r="D257" s="62" t="s">
        <v>54</v>
      </c>
      <c r="E257" s="62">
        <v>0</v>
      </c>
      <c r="F257" s="62">
        <v>0</v>
      </c>
      <c r="G257" s="62">
        <v>0</v>
      </c>
      <c r="H257" s="40">
        <f t="shared" si="3"/>
        <v>0</v>
      </c>
    </row>
    <row r="258" spans="1:8" x14ac:dyDescent="0.2">
      <c r="A258" s="62">
        <v>5132</v>
      </c>
      <c r="B258" s="62" t="s">
        <v>311</v>
      </c>
      <c r="C258" s="62" t="s">
        <v>500</v>
      </c>
      <c r="D258" s="62" t="s">
        <v>104</v>
      </c>
      <c r="E258" s="62">
        <v>0</v>
      </c>
      <c r="F258" s="62">
        <v>50</v>
      </c>
      <c r="G258" s="62">
        <v>50</v>
      </c>
      <c r="H258" s="40">
        <f t="shared" si="3"/>
        <v>33.333333333333336</v>
      </c>
    </row>
    <row r="259" spans="1:8" x14ac:dyDescent="0.2">
      <c r="A259" s="62">
        <v>5139</v>
      </c>
      <c r="B259" s="62" t="s">
        <v>503</v>
      </c>
      <c r="C259" s="62" t="s">
        <v>421</v>
      </c>
      <c r="D259" s="62" t="s">
        <v>86</v>
      </c>
      <c r="E259" s="62">
        <v>0</v>
      </c>
      <c r="F259" s="62">
        <v>0</v>
      </c>
      <c r="G259" s="62">
        <v>0</v>
      </c>
      <c r="H259" s="40">
        <f t="shared" ref="H259:H319" si="4">AVERAGE(E259:G259)</f>
        <v>0</v>
      </c>
    </row>
    <row r="260" spans="1:8" x14ac:dyDescent="0.2">
      <c r="A260" s="62">
        <v>5152</v>
      </c>
      <c r="B260" s="62" t="s">
        <v>504</v>
      </c>
      <c r="C260" s="62" t="s">
        <v>429</v>
      </c>
      <c r="D260" s="62" t="s">
        <v>46</v>
      </c>
      <c r="E260" s="62">
        <v>0</v>
      </c>
      <c r="F260" s="62">
        <v>0</v>
      </c>
      <c r="G260" s="62">
        <v>100</v>
      </c>
      <c r="H260" s="40">
        <f t="shared" si="4"/>
        <v>33.333333333333336</v>
      </c>
    </row>
    <row r="261" spans="1:8" x14ac:dyDescent="0.2">
      <c r="A261" s="62">
        <v>5164</v>
      </c>
      <c r="B261" s="62" t="s">
        <v>312</v>
      </c>
      <c r="C261" s="62" t="s">
        <v>429</v>
      </c>
      <c r="D261" s="62" t="s">
        <v>46</v>
      </c>
      <c r="E261" s="62">
        <v>0</v>
      </c>
      <c r="F261" s="62">
        <v>0</v>
      </c>
      <c r="G261" s="62">
        <v>0</v>
      </c>
      <c r="H261" s="40">
        <f t="shared" si="4"/>
        <v>0</v>
      </c>
    </row>
    <row r="262" spans="1:8" x14ac:dyDescent="0.2">
      <c r="A262" s="62">
        <v>5175</v>
      </c>
      <c r="B262" s="62" t="s">
        <v>313</v>
      </c>
      <c r="C262" s="62" t="s">
        <v>500</v>
      </c>
      <c r="D262" s="62" t="s">
        <v>158</v>
      </c>
      <c r="E262" s="62">
        <v>0</v>
      </c>
      <c r="F262" s="62">
        <v>0</v>
      </c>
      <c r="G262" s="62">
        <v>50</v>
      </c>
      <c r="H262" s="40">
        <f t="shared" si="4"/>
        <v>16.666666666666668</v>
      </c>
    </row>
    <row r="263" spans="1:8" x14ac:dyDescent="0.2">
      <c r="A263" s="62">
        <v>5176</v>
      </c>
      <c r="B263" s="62" t="s">
        <v>314</v>
      </c>
      <c r="C263" s="62" t="s">
        <v>421</v>
      </c>
      <c r="D263" s="62" t="s">
        <v>86</v>
      </c>
      <c r="E263" s="62">
        <v>0</v>
      </c>
      <c r="F263" s="62">
        <v>0</v>
      </c>
      <c r="G263" s="62">
        <v>0</v>
      </c>
      <c r="H263" s="40">
        <f t="shared" si="4"/>
        <v>0</v>
      </c>
    </row>
    <row r="264" spans="1:8" x14ac:dyDescent="0.2">
      <c r="A264" s="62">
        <v>5185</v>
      </c>
      <c r="B264" s="62" t="s">
        <v>315</v>
      </c>
      <c r="C264" s="62" t="s">
        <v>421</v>
      </c>
      <c r="D264" s="62" t="s">
        <v>86</v>
      </c>
      <c r="E264" s="62">
        <v>0</v>
      </c>
      <c r="F264" s="62">
        <v>0</v>
      </c>
      <c r="G264" s="62">
        <v>0</v>
      </c>
      <c r="H264" s="40">
        <f t="shared" si="4"/>
        <v>0</v>
      </c>
    </row>
    <row r="265" spans="1:8" x14ac:dyDescent="0.2">
      <c r="A265" s="62">
        <v>5186</v>
      </c>
      <c r="B265" s="62" t="s">
        <v>316</v>
      </c>
      <c r="C265" s="62" t="s">
        <v>421</v>
      </c>
      <c r="D265" s="62" t="s">
        <v>86</v>
      </c>
      <c r="E265" s="62">
        <v>0</v>
      </c>
      <c r="F265" s="62">
        <v>100</v>
      </c>
      <c r="G265" s="62">
        <v>100</v>
      </c>
      <c r="H265" s="40">
        <f t="shared" si="4"/>
        <v>66.666666666666671</v>
      </c>
    </row>
    <row r="266" spans="1:8" x14ac:dyDescent="0.2">
      <c r="A266" s="62">
        <v>5194</v>
      </c>
      <c r="B266" s="62" t="s">
        <v>317</v>
      </c>
      <c r="C266" s="62" t="s">
        <v>421</v>
      </c>
      <c r="D266" s="62" t="s">
        <v>86</v>
      </c>
      <c r="E266" s="62">
        <v>0</v>
      </c>
      <c r="F266" s="62">
        <v>50</v>
      </c>
      <c r="G266" s="62">
        <v>0</v>
      </c>
      <c r="H266" s="40">
        <f t="shared" si="4"/>
        <v>16.666666666666668</v>
      </c>
    </row>
    <row r="267" spans="1:8" x14ac:dyDescent="0.2">
      <c r="A267" s="62">
        <v>5202</v>
      </c>
      <c r="B267" s="62" t="s">
        <v>318</v>
      </c>
      <c r="C267" s="62" t="s">
        <v>495</v>
      </c>
      <c r="D267" s="62" t="s">
        <v>24</v>
      </c>
      <c r="E267" s="62">
        <v>50</v>
      </c>
      <c r="F267" s="62">
        <v>0</v>
      </c>
      <c r="G267" s="62">
        <v>0</v>
      </c>
      <c r="H267" s="40">
        <f t="shared" si="4"/>
        <v>16.666666666666668</v>
      </c>
    </row>
    <row r="268" spans="1:8" x14ac:dyDescent="0.2">
      <c r="A268" s="62">
        <v>5203</v>
      </c>
      <c r="B268" s="62" t="s">
        <v>319</v>
      </c>
      <c r="C268" s="62" t="s">
        <v>500</v>
      </c>
      <c r="D268" s="62" t="s">
        <v>104</v>
      </c>
      <c r="E268" s="62">
        <v>0</v>
      </c>
      <c r="F268" s="62">
        <v>0</v>
      </c>
      <c r="G268" s="62">
        <v>0</v>
      </c>
      <c r="H268" s="40">
        <f t="shared" si="4"/>
        <v>0</v>
      </c>
    </row>
    <row r="269" spans="1:8" x14ac:dyDescent="0.2">
      <c r="A269" s="62">
        <v>5209</v>
      </c>
      <c r="B269" s="62" t="s">
        <v>505</v>
      </c>
      <c r="C269" s="62" t="s">
        <v>421</v>
      </c>
      <c r="D269" s="62" t="s">
        <v>86</v>
      </c>
      <c r="E269" s="62">
        <v>0</v>
      </c>
      <c r="F269" s="62">
        <v>0</v>
      </c>
      <c r="G269" s="62">
        <v>0</v>
      </c>
      <c r="H269" s="40">
        <f t="shared" si="4"/>
        <v>0</v>
      </c>
    </row>
    <row r="270" spans="1:8" x14ac:dyDescent="0.2">
      <c r="A270" s="62">
        <v>5217</v>
      </c>
      <c r="B270" s="62" t="s">
        <v>320</v>
      </c>
      <c r="C270" s="62" t="s">
        <v>421</v>
      </c>
      <c r="D270" s="62" t="s">
        <v>86</v>
      </c>
      <c r="E270" s="62">
        <v>0</v>
      </c>
      <c r="F270" s="62">
        <v>100</v>
      </c>
      <c r="G270" s="62">
        <v>0</v>
      </c>
      <c r="H270" s="40">
        <f t="shared" si="4"/>
        <v>33.333333333333336</v>
      </c>
    </row>
    <row r="271" spans="1:8" x14ac:dyDescent="0.2">
      <c r="A271" s="62">
        <v>5220</v>
      </c>
      <c r="B271" s="62" t="s">
        <v>321</v>
      </c>
      <c r="C271" s="62" t="s">
        <v>500</v>
      </c>
      <c r="D271" s="62" t="s">
        <v>104</v>
      </c>
      <c r="E271" s="62">
        <v>0</v>
      </c>
      <c r="F271" s="62">
        <v>0</v>
      </c>
      <c r="G271" s="62">
        <v>0</v>
      </c>
      <c r="H271" s="40">
        <f t="shared" si="4"/>
        <v>0</v>
      </c>
    </row>
    <row r="272" spans="1:8" x14ac:dyDescent="0.2">
      <c r="A272" s="62">
        <v>5242</v>
      </c>
      <c r="B272" s="62" t="s">
        <v>322</v>
      </c>
      <c r="C272" s="62" t="s">
        <v>421</v>
      </c>
      <c r="D272" s="62" t="s">
        <v>10</v>
      </c>
      <c r="E272" s="62">
        <v>0</v>
      </c>
      <c r="F272" s="62">
        <v>50</v>
      </c>
      <c r="G272" s="62">
        <v>0</v>
      </c>
      <c r="H272" s="40">
        <f t="shared" si="4"/>
        <v>16.666666666666668</v>
      </c>
    </row>
    <row r="273" spans="1:8" x14ac:dyDescent="0.2">
      <c r="A273" s="62">
        <v>5243</v>
      </c>
      <c r="B273" s="62" t="s">
        <v>323</v>
      </c>
      <c r="C273" s="62" t="s">
        <v>422</v>
      </c>
      <c r="D273" s="62" t="s">
        <v>54</v>
      </c>
      <c r="E273" s="62">
        <v>0</v>
      </c>
      <c r="F273" s="62">
        <v>50</v>
      </c>
      <c r="G273" s="62">
        <v>0</v>
      </c>
      <c r="H273" s="40">
        <f t="shared" si="4"/>
        <v>16.666666666666668</v>
      </c>
    </row>
    <row r="274" spans="1:8" x14ac:dyDescent="0.2">
      <c r="A274" s="62">
        <v>5244</v>
      </c>
      <c r="B274" s="62" t="s">
        <v>324</v>
      </c>
      <c r="C274" s="62" t="s">
        <v>421</v>
      </c>
      <c r="D274" s="62" t="s">
        <v>86</v>
      </c>
      <c r="E274" s="62">
        <v>0</v>
      </c>
      <c r="F274" s="62">
        <v>50</v>
      </c>
      <c r="G274" s="62">
        <v>0</v>
      </c>
      <c r="H274" s="40">
        <f t="shared" si="4"/>
        <v>16.666666666666668</v>
      </c>
    </row>
    <row r="275" spans="1:8" x14ac:dyDescent="0.2">
      <c r="A275" s="62">
        <v>5245</v>
      </c>
      <c r="B275" s="62" t="s">
        <v>325</v>
      </c>
      <c r="C275" s="62" t="s">
        <v>421</v>
      </c>
      <c r="D275" s="62" t="s">
        <v>86</v>
      </c>
      <c r="E275" s="62">
        <v>0</v>
      </c>
      <c r="F275" s="62">
        <v>0</v>
      </c>
      <c r="G275" s="62">
        <v>0</v>
      </c>
      <c r="H275" s="40">
        <f t="shared" si="4"/>
        <v>0</v>
      </c>
    </row>
    <row r="276" spans="1:8" x14ac:dyDescent="0.2">
      <c r="A276" s="62">
        <v>5262</v>
      </c>
      <c r="B276" s="62" t="s">
        <v>326</v>
      </c>
      <c r="C276" s="62" t="s">
        <v>422</v>
      </c>
      <c r="D276" s="62" t="s">
        <v>54</v>
      </c>
      <c r="E276" s="62">
        <v>0</v>
      </c>
      <c r="F276" s="62">
        <v>0</v>
      </c>
      <c r="G276" s="62">
        <v>0</v>
      </c>
      <c r="H276" s="40">
        <f t="shared" si="4"/>
        <v>0</v>
      </c>
    </row>
    <row r="277" spans="1:8" x14ac:dyDescent="0.2">
      <c r="A277" s="62">
        <v>5265</v>
      </c>
      <c r="B277" s="62" t="s">
        <v>327</v>
      </c>
      <c r="C277" s="62" t="s">
        <v>421</v>
      </c>
      <c r="D277" s="62" t="s">
        <v>10</v>
      </c>
      <c r="E277" s="62">
        <v>0</v>
      </c>
      <c r="F277" s="62">
        <v>50</v>
      </c>
      <c r="G277" s="62">
        <v>0</v>
      </c>
      <c r="H277" s="40">
        <f t="shared" si="4"/>
        <v>16.666666666666668</v>
      </c>
    </row>
    <row r="278" spans="1:8" x14ac:dyDescent="0.2">
      <c r="A278" s="62">
        <v>5266</v>
      </c>
      <c r="B278" s="62" t="s">
        <v>328</v>
      </c>
      <c r="C278" s="62" t="s">
        <v>421</v>
      </c>
      <c r="D278" s="62" t="s">
        <v>10</v>
      </c>
      <c r="E278" s="62">
        <v>0</v>
      </c>
      <c r="F278" s="62">
        <v>0</v>
      </c>
      <c r="G278" s="62">
        <v>0</v>
      </c>
      <c r="H278" s="40">
        <f t="shared" si="4"/>
        <v>0</v>
      </c>
    </row>
    <row r="279" spans="1:8" x14ac:dyDescent="0.2">
      <c r="A279" s="62">
        <v>5267</v>
      </c>
      <c r="B279" s="62" t="s">
        <v>506</v>
      </c>
      <c r="C279" s="62" t="s">
        <v>421</v>
      </c>
      <c r="D279" s="62" t="s">
        <v>10</v>
      </c>
      <c r="E279" s="62">
        <v>0</v>
      </c>
      <c r="F279" s="62">
        <v>0</v>
      </c>
      <c r="G279" s="62">
        <v>0</v>
      </c>
      <c r="H279" s="40">
        <f t="shared" si="4"/>
        <v>0</v>
      </c>
    </row>
    <row r="280" spans="1:8" x14ac:dyDescent="0.2">
      <c r="A280" s="62">
        <v>5268</v>
      </c>
      <c r="B280" s="62" t="s">
        <v>329</v>
      </c>
      <c r="C280" s="62" t="s">
        <v>421</v>
      </c>
      <c r="D280" s="62" t="s">
        <v>10</v>
      </c>
      <c r="E280" s="62">
        <v>0</v>
      </c>
      <c r="F280" s="62">
        <v>0</v>
      </c>
      <c r="G280" s="62">
        <v>0</v>
      </c>
      <c r="H280" s="40">
        <f t="shared" si="4"/>
        <v>0</v>
      </c>
    </row>
    <row r="281" spans="1:8" x14ac:dyDescent="0.2">
      <c r="A281" s="62">
        <v>5274</v>
      </c>
      <c r="B281" s="62" t="s">
        <v>330</v>
      </c>
      <c r="C281" s="62" t="s">
        <v>421</v>
      </c>
      <c r="D281" s="62" t="s">
        <v>10</v>
      </c>
      <c r="E281" s="62">
        <v>0</v>
      </c>
      <c r="F281" s="62">
        <v>50</v>
      </c>
      <c r="G281" s="62">
        <v>0</v>
      </c>
      <c r="H281" s="40">
        <f t="shared" si="4"/>
        <v>16.666666666666668</v>
      </c>
    </row>
    <row r="282" spans="1:8" x14ac:dyDescent="0.2">
      <c r="A282" s="62">
        <v>5275</v>
      </c>
      <c r="B282" s="62" t="s">
        <v>331</v>
      </c>
      <c r="C282" s="62" t="s">
        <v>422</v>
      </c>
      <c r="D282" s="62" t="s">
        <v>54</v>
      </c>
      <c r="E282" s="62">
        <v>0</v>
      </c>
      <c r="F282" s="62">
        <v>0</v>
      </c>
      <c r="G282" s="62">
        <v>0</v>
      </c>
      <c r="H282" s="40">
        <f t="shared" si="4"/>
        <v>0</v>
      </c>
    </row>
    <row r="283" spans="1:8" x14ac:dyDescent="0.2">
      <c r="A283" s="62">
        <v>5277</v>
      </c>
      <c r="B283" s="62" t="s">
        <v>332</v>
      </c>
      <c r="C283" s="62" t="s">
        <v>429</v>
      </c>
      <c r="D283" s="62" t="s">
        <v>46</v>
      </c>
      <c r="E283" s="62">
        <v>0</v>
      </c>
      <c r="F283" s="62">
        <v>0</v>
      </c>
      <c r="G283" s="62">
        <v>0</v>
      </c>
      <c r="H283" s="40">
        <f t="shared" si="4"/>
        <v>0</v>
      </c>
    </row>
    <row r="284" spans="1:8" x14ac:dyDescent="0.2">
      <c r="A284" s="62">
        <v>5278</v>
      </c>
      <c r="B284" s="62" t="s">
        <v>333</v>
      </c>
      <c r="C284" s="62" t="s">
        <v>421</v>
      </c>
      <c r="D284" s="62" t="s">
        <v>86</v>
      </c>
      <c r="E284" s="62">
        <v>0</v>
      </c>
      <c r="F284" s="62">
        <v>0</v>
      </c>
      <c r="G284" s="62">
        <v>0</v>
      </c>
      <c r="H284" s="40">
        <f t="shared" si="4"/>
        <v>0</v>
      </c>
    </row>
    <row r="285" spans="1:8" x14ac:dyDescent="0.2">
      <c r="A285" s="62">
        <v>5285</v>
      </c>
      <c r="B285" s="62" t="s">
        <v>334</v>
      </c>
      <c r="C285" s="62" t="s">
        <v>422</v>
      </c>
      <c r="D285" s="62" t="s">
        <v>54</v>
      </c>
      <c r="E285" s="62">
        <v>0</v>
      </c>
      <c r="F285" s="62">
        <v>0</v>
      </c>
      <c r="G285" s="62">
        <v>0</v>
      </c>
      <c r="H285" s="40">
        <f t="shared" si="4"/>
        <v>0</v>
      </c>
    </row>
    <row r="286" spans="1:8" x14ac:dyDescent="0.2">
      <c r="A286" s="62">
        <v>5287</v>
      </c>
      <c r="B286" s="62" t="s">
        <v>335</v>
      </c>
      <c r="C286" s="62" t="s">
        <v>421</v>
      </c>
      <c r="D286" s="62" t="s">
        <v>86</v>
      </c>
      <c r="E286" s="62">
        <v>0</v>
      </c>
      <c r="F286" s="62">
        <v>0</v>
      </c>
      <c r="G286" s="62">
        <v>100</v>
      </c>
      <c r="H286" s="40">
        <f t="shared" si="4"/>
        <v>33.333333333333336</v>
      </c>
    </row>
    <row r="287" spans="1:8" x14ac:dyDescent="0.2">
      <c r="A287" s="62">
        <v>5291</v>
      </c>
      <c r="B287" s="62" t="s">
        <v>507</v>
      </c>
      <c r="C287" s="62" t="s">
        <v>422</v>
      </c>
      <c r="D287" s="62" t="s">
        <v>54</v>
      </c>
      <c r="E287" s="62">
        <v>0</v>
      </c>
      <c r="F287" s="62">
        <v>0</v>
      </c>
      <c r="G287" s="62">
        <v>0</v>
      </c>
      <c r="H287" s="40">
        <f t="shared" si="4"/>
        <v>0</v>
      </c>
    </row>
    <row r="288" spans="1:8" x14ac:dyDescent="0.2">
      <c r="A288" s="62">
        <v>5293</v>
      </c>
      <c r="B288" s="62" t="s">
        <v>336</v>
      </c>
      <c r="C288" s="62" t="s">
        <v>421</v>
      </c>
      <c r="D288" s="62" t="s">
        <v>86</v>
      </c>
      <c r="E288" s="62">
        <v>0</v>
      </c>
      <c r="F288" s="62">
        <v>100</v>
      </c>
      <c r="G288" s="62">
        <v>0</v>
      </c>
      <c r="H288" s="40">
        <f t="shared" si="4"/>
        <v>33.333333333333336</v>
      </c>
    </row>
    <row r="289" spans="1:8" x14ac:dyDescent="0.2">
      <c r="A289" s="62">
        <v>5294</v>
      </c>
      <c r="B289" s="62" t="s">
        <v>337</v>
      </c>
      <c r="C289" s="62" t="s">
        <v>422</v>
      </c>
      <c r="D289" s="62" t="s">
        <v>54</v>
      </c>
      <c r="E289" s="62">
        <v>0</v>
      </c>
      <c r="F289" s="62">
        <v>0</v>
      </c>
      <c r="G289" s="62">
        <v>0</v>
      </c>
      <c r="H289" s="40">
        <f t="shared" si="4"/>
        <v>0</v>
      </c>
    </row>
    <row r="290" spans="1:8" x14ac:dyDescent="0.2">
      <c r="A290" s="62">
        <v>5300</v>
      </c>
      <c r="B290" s="62" t="s">
        <v>338</v>
      </c>
      <c r="C290" s="62" t="s">
        <v>422</v>
      </c>
      <c r="D290" s="62" t="s">
        <v>54</v>
      </c>
      <c r="E290" s="62">
        <v>0</v>
      </c>
      <c r="F290" s="62">
        <v>0</v>
      </c>
      <c r="G290" s="62">
        <v>0</v>
      </c>
      <c r="H290" s="40">
        <f t="shared" si="4"/>
        <v>0</v>
      </c>
    </row>
    <row r="291" spans="1:8" x14ac:dyDescent="0.2">
      <c r="A291" s="62">
        <v>5302</v>
      </c>
      <c r="B291" s="62" t="s">
        <v>339</v>
      </c>
      <c r="C291" s="62" t="s">
        <v>421</v>
      </c>
      <c r="D291" s="62" t="s">
        <v>10</v>
      </c>
      <c r="E291" s="62">
        <v>0</v>
      </c>
      <c r="F291" s="62">
        <v>0</v>
      </c>
      <c r="G291" s="62">
        <v>0</v>
      </c>
      <c r="H291" s="40">
        <f t="shared" si="4"/>
        <v>0</v>
      </c>
    </row>
    <row r="292" spans="1:8" x14ac:dyDescent="0.2">
      <c r="A292" s="62">
        <v>5303</v>
      </c>
      <c r="B292" s="62" t="s">
        <v>340</v>
      </c>
      <c r="C292" s="62" t="s">
        <v>500</v>
      </c>
      <c r="D292" s="62" t="s">
        <v>158</v>
      </c>
      <c r="E292" s="62">
        <v>0</v>
      </c>
      <c r="F292" s="62">
        <v>0</v>
      </c>
      <c r="G292" s="62">
        <v>0</v>
      </c>
      <c r="H292" s="40">
        <f t="shared" si="4"/>
        <v>0</v>
      </c>
    </row>
    <row r="293" spans="1:8" x14ac:dyDescent="0.2">
      <c r="A293" s="62">
        <v>5304</v>
      </c>
      <c r="B293" s="62" t="s">
        <v>341</v>
      </c>
      <c r="C293" s="62" t="s">
        <v>421</v>
      </c>
      <c r="D293" s="62" t="s">
        <v>10</v>
      </c>
      <c r="E293" s="62">
        <v>0</v>
      </c>
      <c r="F293" s="62">
        <v>0</v>
      </c>
      <c r="G293" s="62">
        <v>0</v>
      </c>
      <c r="H293" s="40">
        <f t="shared" si="4"/>
        <v>0</v>
      </c>
    </row>
    <row r="294" spans="1:8" x14ac:dyDescent="0.2">
      <c r="A294" s="62">
        <v>5306</v>
      </c>
      <c r="B294" s="62" t="s">
        <v>342</v>
      </c>
      <c r="C294" s="62" t="s">
        <v>422</v>
      </c>
      <c r="D294" s="62" t="s">
        <v>54</v>
      </c>
      <c r="E294" s="62">
        <v>0</v>
      </c>
      <c r="F294" s="62">
        <v>0</v>
      </c>
      <c r="G294" s="62">
        <v>0</v>
      </c>
      <c r="H294" s="40">
        <f t="shared" si="4"/>
        <v>0</v>
      </c>
    </row>
    <row r="295" spans="1:8" x14ac:dyDescent="0.2">
      <c r="A295" s="62">
        <v>5307</v>
      </c>
      <c r="B295" s="62" t="s">
        <v>343</v>
      </c>
      <c r="C295" s="62" t="s">
        <v>422</v>
      </c>
      <c r="D295" s="62" t="s">
        <v>54</v>
      </c>
      <c r="E295" s="62">
        <v>0</v>
      </c>
      <c r="F295" s="62">
        <v>0</v>
      </c>
      <c r="G295" s="62">
        <v>0</v>
      </c>
      <c r="H295" s="40">
        <f t="shared" si="4"/>
        <v>0</v>
      </c>
    </row>
    <row r="296" spans="1:8" x14ac:dyDescent="0.2">
      <c r="A296" s="62">
        <v>5308</v>
      </c>
      <c r="B296" s="62" t="s">
        <v>508</v>
      </c>
      <c r="C296" s="62" t="s">
        <v>421</v>
      </c>
      <c r="D296" s="62" t="s">
        <v>10</v>
      </c>
      <c r="E296" s="62">
        <v>0</v>
      </c>
      <c r="F296" s="62">
        <v>0</v>
      </c>
      <c r="G296" s="62">
        <v>0</v>
      </c>
      <c r="H296" s="40">
        <f t="shared" si="4"/>
        <v>0</v>
      </c>
    </row>
    <row r="297" spans="1:8" x14ac:dyDescent="0.2">
      <c r="A297" s="62">
        <v>5309</v>
      </c>
      <c r="B297" s="62" t="s">
        <v>344</v>
      </c>
      <c r="C297" s="62" t="s">
        <v>421</v>
      </c>
      <c r="D297" s="62" t="s">
        <v>10</v>
      </c>
      <c r="E297" s="62">
        <v>0</v>
      </c>
      <c r="F297" s="62">
        <v>0</v>
      </c>
      <c r="G297" s="62">
        <v>0</v>
      </c>
      <c r="H297" s="40">
        <f t="shared" si="4"/>
        <v>0</v>
      </c>
    </row>
    <row r="298" spans="1:8" x14ac:dyDescent="0.2">
      <c r="A298" s="62">
        <v>5310</v>
      </c>
      <c r="B298" s="62" t="s">
        <v>345</v>
      </c>
      <c r="C298" s="62" t="s">
        <v>429</v>
      </c>
      <c r="D298" s="62" t="s">
        <v>46</v>
      </c>
      <c r="E298" s="62">
        <v>0</v>
      </c>
      <c r="F298" s="62">
        <v>0</v>
      </c>
      <c r="G298" s="62">
        <v>0</v>
      </c>
      <c r="H298" s="40">
        <f t="shared" si="4"/>
        <v>0</v>
      </c>
    </row>
    <row r="299" spans="1:8" x14ac:dyDescent="0.2">
      <c r="A299" s="62">
        <v>5313</v>
      </c>
      <c r="B299" s="62" t="s">
        <v>346</v>
      </c>
      <c r="C299" s="62" t="s">
        <v>421</v>
      </c>
      <c r="D299" s="62" t="s">
        <v>86</v>
      </c>
      <c r="E299" s="62">
        <v>0</v>
      </c>
      <c r="F299" s="62">
        <v>0</v>
      </c>
      <c r="G299" s="62">
        <v>0</v>
      </c>
      <c r="H299" s="40">
        <f t="shared" si="4"/>
        <v>0</v>
      </c>
    </row>
    <row r="300" spans="1:8" x14ac:dyDescent="0.2">
      <c r="A300" s="62">
        <v>5314</v>
      </c>
      <c r="B300" s="62" t="s">
        <v>347</v>
      </c>
      <c r="C300" s="62" t="s">
        <v>421</v>
      </c>
      <c r="D300" s="62" t="s">
        <v>86</v>
      </c>
      <c r="E300" s="62">
        <v>0</v>
      </c>
      <c r="F300" s="62">
        <v>0</v>
      </c>
      <c r="G300" s="62">
        <v>0</v>
      </c>
      <c r="H300" s="40">
        <f t="shared" si="4"/>
        <v>0</v>
      </c>
    </row>
    <row r="301" spans="1:8" x14ac:dyDescent="0.2">
      <c r="A301" s="62">
        <v>5315</v>
      </c>
      <c r="B301" s="62" t="s">
        <v>348</v>
      </c>
      <c r="C301" s="62" t="s">
        <v>421</v>
      </c>
      <c r="D301" s="62" t="s">
        <v>86</v>
      </c>
      <c r="E301" s="62">
        <v>0</v>
      </c>
      <c r="F301" s="62">
        <v>0</v>
      </c>
      <c r="G301" s="62">
        <v>0</v>
      </c>
      <c r="H301" s="40">
        <f t="shared" si="4"/>
        <v>0</v>
      </c>
    </row>
    <row r="302" spans="1:8" x14ac:dyDescent="0.2">
      <c r="A302" s="62">
        <v>5316</v>
      </c>
      <c r="B302" s="62" t="s">
        <v>349</v>
      </c>
      <c r="C302" s="62" t="s">
        <v>422</v>
      </c>
      <c r="D302" s="62" t="s">
        <v>54</v>
      </c>
      <c r="E302" s="62">
        <v>0</v>
      </c>
      <c r="F302" s="62">
        <v>0</v>
      </c>
      <c r="G302" s="62">
        <v>0</v>
      </c>
      <c r="H302" s="40">
        <f t="shared" si="4"/>
        <v>0</v>
      </c>
    </row>
    <row r="303" spans="1:8" x14ac:dyDescent="0.2">
      <c r="A303" s="62">
        <v>5317</v>
      </c>
      <c r="B303" s="62" t="s">
        <v>350</v>
      </c>
      <c r="C303" s="62" t="s">
        <v>422</v>
      </c>
      <c r="D303" s="62" t="s">
        <v>54</v>
      </c>
      <c r="E303" s="62">
        <v>0</v>
      </c>
      <c r="F303" s="62">
        <v>0</v>
      </c>
      <c r="G303" s="62">
        <v>0</v>
      </c>
      <c r="H303" s="40">
        <f t="shared" si="4"/>
        <v>0</v>
      </c>
    </row>
    <row r="304" spans="1:8" x14ac:dyDescent="0.2">
      <c r="A304" s="62">
        <v>5319</v>
      </c>
      <c r="B304" s="62" t="s">
        <v>351</v>
      </c>
      <c r="C304" s="62" t="s">
        <v>421</v>
      </c>
      <c r="D304" s="62" t="s">
        <v>10</v>
      </c>
      <c r="E304" s="62">
        <v>0</v>
      </c>
      <c r="F304" s="62">
        <v>0</v>
      </c>
      <c r="G304" s="62">
        <v>0</v>
      </c>
      <c r="H304" s="40">
        <f t="shared" si="4"/>
        <v>0</v>
      </c>
    </row>
    <row r="305" spans="1:8" x14ac:dyDescent="0.2">
      <c r="A305" s="62">
        <v>5320</v>
      </c>
      <c r="B305" s="62" t="s">
        <v>352</v>
      </c>
      <c r="C305" s="62" t="s">
        <v>421</v>
      </c>
      <c r="D305" s="62" t="s">
        <v>353</v>
      </c>
      <c r="E305" s="62">
        <v>0</v>
      </c>
      <c r="F305" s="62">
        <v>0</v>
      </c>
      <c r="G305" s="62">
        <v>0</v>
      </c>
      <c r="H305" s="40">
        <f t="shared" si="4"/>
        <v>0</v>
      </c>
    </row>
    <row r="306" spans="1:8" x14ac:dyDescent="0.2">
      <c r="A306" s="62">
        <v>5321</v>
      </c>
      <c r="B306" s="62" t="s">
        <v>354</v>
      </c>
      <c r="C306" s="62" t="s">
        <v>421</v>
      </c>
      <c r="D306" s="62" t="s">
        <v>10</v>
      </c>
      <c r="E306" s="62">
        <v>0</v>
      </c>
      <c r="F306" s="62">
        <v>0</v>
      </c>
      <c r="G306" s="62">
        <v>0</v>
      </c>
      <c r="H306" s="40">
        <f t="shared" si="4"/>
        <v>0</v>
      </c>
    </row>
    <row r="307" spans="1:8" x14ac:dyDescent="0.2">
      <c r="A307" s="62">
        <v>5326</v>
      </c>
      <c r="B307" s="62" t="s">
        <v>356</v>
      </c>
      <c r="C307" s="62" t="s">
        <v>422</v>
      </c>
      <c r="D307" s="62" t="s">
        <v>54</v>
      </c>
      <c r="E307" s="62">
        <v>0</v>
      </c>
      <c r="F307" s="62">
        <v>0</v>
      </c>
      <c r="G307" s="62">
        <v>0</v>
      </c>
      <c r="H307" s="40">
        <f t="shared" si="4"/>
        <v>0</v>
      </c>
    </row>
    <row r="308" spans="1:8" x14ac:dyDescent="0.2">
      <c r="A308" s="62">
        <v>5327</v>
      </c>
      <c r="B308" s="62" t="s">
        <v>357</v>
      </c>
      <c r="C308" s="62" t="s">
        <v>422</v>
      </c>
      <c r="D308" s="62" t="s">
        <v>54</v>
      </c>
      <c r="E308" s="62">
        <v>0</v>
      </c>
      <c r="F308" s="62">
        <v>0</v>
      </c>
      <c r="G308" s="62">
        <v>0</v>
      </c>
      <c r="H308" s="40">
        <f t="shared" si="4"/>
        <v>0</v>
      </c>
    </row>
    <row r="309" spans="1:8" x14ac:dyDescent="0.2">
      <c r="A309" s="62">
        <v>5328</v>
      </c>
      <c r="B309" s="62" t="s">
        <v>358</v>
      </c>
      <c r="C309" s="62" t="s">
        <v>421</v>
      </c>
      <c r="D309" s="62" t="s">
        <v>10</v>
      </c>
      <c r="E309" s="62">
        <v>0</v>
      </c>
      <c r="F309" s="62">
        <v>0</v>
      </c>
      <c r="G309" s="62">
        <v>0</v>
      </c>
      <c r="H309" s="40">
        <f t="shared" si="4"/>
        <v>0</v>
      </c>
    </row>
    <row r="310" spans="1:8" x14ac:dyDescent="0.2">
      <c r="A310" s="62">
        <v>5329</v>
      </c>
      <c r="B310" s="62" t="s">
        <v>359</v>
      </c>
      <c r="C310" s="62" t="s">
        <v>500</v>
      </c>
      <c r="D310" s="62" t="s">
        <v>104</v>
      </c>
      <c r="E310" s="62">
        <v>0</v>
      </c>
      <c r="F310" s="62">
        <v>0</v>
      </c>
      <c r="G310" s="62">
        <v>0</v>
      </c>
      <c r="H310" s="40">
        <f t="shared" si="4"/>
        <v>0</v>
      </c>
    </row>
    <row r="311" spans="1:8" x14ac:dyDescent="0.2">
      <c r="A311" s="62">
        <v>5330</v>
      </c>
      <c r="B311" s="62" t="s">
        <v>360</v>
      </c>
      <c r="C311" s="62" t="s">
        <v>421</v>
      </c>
      <c r="D311" s="62" t="s">
        <v>10</v>
      </c>
      <c r="E311" s="62">
        <v>0</v>
      </c>
      <c r="F311" s="62">
        <v>0</v>
      </c>
      <c r="G311" s="62">
        <v>0</v>
      </c>
      <c r="H311" s="40">
        <f t="shared" si="4"/>
        <v>0</v>
      </c>
    </row>
    <row r="312" spans="1:8" x14ac:dyDescent="0.2">
      <c r="A312" s="62">
        <v>5333</v>
      </c>
      <c r="B312" s="62" t="s">
        <v>361</v>
      </c>
      <c r="C312" s="62" t="s">
        <v>422</v>
      </c>
      <c r="D312" s="62" t="s">
        <v>54</v>
      </c>
      <c r="E312" s="62">
        <v>0</v>
      </c>
      <c r="F312" s="62">
        <v>0</v>
      </c>
      <c r="G312" s="62">
        <v>0</v>
      </c>
      <c r="H312" s="40">
        <f t="shared" si="4"/>
        <v>0</v>
      </c>
    </row>
    <row r="313" spans="1:8" x14ac:dyDescent="0.2">
      <c r="A313" s="62">
        <v>5334</v>
      </c>
      <c r="B313" s="62" t="s">
        <v>362</v>
      </c>
      <c r="C313" s="62" t="s">
        <v>429</v>
      </c>
      <c r="D313" s="62" t="s">
        <v>46</v>
      </c>
      <c r="E313" s="62">
        <v>0</v>
      </c>
      <c r="F313" s="62">
        <v>0</v>
      </c>
      <c r="G313" s="62">
        <v>0</v>
      </c>
      <c r="H313" s="40">
        <f t="shared" si="4"/>
        <v>0</v>
      </c>
    </row>
    <row r="314" spans="1:8" x14ac:dyDescent="0.2">
      <c r="A314" s="62">
        <v>5335</v>
      </c>
      <c r="B314" s="62" t="s">
        <v>363</v>
      </c>
      <c r="C314" s="62" t="s">
        <v>421</v>
      </c>
      <c r="D314" s="62" t="s">
        <v>10</v>
      </c>
      <c r="E314" s="62">
        <v>0</v>
      </c>
      <c r="F314" s="62">
        <v>0</v>
      </c>
      <c r="G314" s="62">
        <v>0</v>
      </c>
      <c r="H314" s="40">
        <f t="shared" si="4"/>
        <v>0</v>
      </c>
    </row>
    <row r="315" spans="1:8" x14ac:dyDescent="0.2">
      <c r="A315" s="62">
        <v>5336</v>
      </c>
      <c r="B315" s="62" t="s">
        <v>364</v>
      </c>
      <c r="C315" s="62" t="s">
        <v>421</v>
      </c>
      <c r="D315" s="62" t="s">
        <v>10</v>
      </c>
      <c r="E315" s="62">
        <v>0</v>
      </c>
      <c r="F315" s="62">
        <v>0</v>
      </c>
      <c r="G315" s="62">
        <v>0</v>
      </c>
      <c r="H315" s="40">
        <f t="shared" si="4"/>
        <v>0</v>
      </c>
    </row>
    <row r="316" spans="1:8" x14ac:dyDescent="0.2">
      <c r="A316" s="62">
        <v>5337</v>
      </c>
      <c r="B316" s="62" t="s">
        <v>365</v>
      </c>
      <c r="C316" s="62" t="s">
        <v>421</v>
      </c>
      <c r="D316" s="62" t="s">
        <v>10</v>
      </c>
      <c r="E316" s="62">
        <v>0</v>
      </c>
      <c r="F316" s="62">
        <v>0</v>
      </c>
      <c r="G316" s="62">
        <v>0</v>
      </c>
      <c r="H316" s="40">
        <f t="shared" si="4"/>
        <v>0</v>
      </c>
    </row>
    <row r="317" spans="1:8" x14ac:dyDescent="0.2">
      <c r="A317" s="62">
        <v>5338</v>
      </c>
      <c r="B317" s="62" t="s">
        <v>366</v>
      </c>
      <c r="C317" s="62" t="s">
        <v>421</v>
      </c>
      <c r="D317" s="62" t="s">
        <v>61</v>
      </c>
      <c r="E317" s="62">
        <v>0</v>
      </c>
      <c r="F317" s="62">
        <v>0</v>
      </c>
      <c r="G317" s="62">
        <v>0</v>
      </c>
      <c r="H317" s="40">
        <f t="shared" si="4"/>
        <v>0</v>
      </c>
    </row>
    <row r="318" spans="1:8" x14ac:dyDescent="0.2">
      <c r="A318" s="62">
        <v>5339</v>
      </c>
      <c r="B318" s="62" t="s">
        <v>367</v>
      </c>
      <c r="C318" s="62" t="s">
        <v>421</v>
      </c>
      <c r="D318" s="62" t="s">
        <v>86</v>
      </c>
      <c r="E318" s="62">
        <v>0</v>
      </c>
      <c r="F318" s="62">
        <v>0</v>
      </c>
      <c r="G318" s="62">
        <v>0</v>
      </c>
      <c r="H318" s="40">
        <f t="shared" si="4"/>
        <v>0</v>
      </c>
    </row>
    <row r="319" spans="1:8" x14ac:dyDescent="0.2">
      <c r="A319" s="62">
        <v>5340</v>
      </c>
      <c r="B319" s="62" t="s">
        <v>368</v>
      </c>
      <c r="C319" s="62" t="s">
        <v>421</v>
      </c>
      <c r="D319" s="62" t="s">
        <v>86</v>
      </c>
      <c r="E319" s="62">
        <v>0</v>
      </c>
      <c r="F319" s="62">
        <v>0</v>
      </c>
      <c r="G319" s="62">
        <v>0</v>
      </c>
      <c r="H319" s="40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3014-3C27-49A0-B17E-6017D5CE94A7}">
  <sheetPr codeName="Sayfa5"/>
  <dimension ref="A2:O6"/>
  <sheetViews>
    <sheetView workbookViewId="0">
      <selection activeCell="J18" sqref="J18"/>
    </sheetView>
  </sheetViews>
  <sheetFormatPr defaultRowHeight="12.75" x14ac:dyDescent="0.2"/>
  <sheetData>
    <row r="2" spans="1:15" ht="15.75" x14ac:dyDescent="0.2">
      <c r="A2" s="140" t="s">
        <v>455</v>
      </c>
      <c r="B2" s="141"/>
      <c r="C2" s="141"/>
      <c r="E2" s="142" t="s">
        <v>456</v>
      </c>
      <c r="F2" s="142"/>
      <c r="G2" s="142"/>
      <c r="I2" s="143" t="s">
        <v>457</v>
      </c>
      <c r="J2" s="143"/>
      <c r="K2" s="143"/>
      <c r="M2" s="143" t="s">
        <v>458</v>
      </c>
      <c r="N2" s="143"/>
      <c r="O2" s="143"/>
    </row>
    <row r="3" spans="1:15" ht="15" x14ac:dyDescent="0.2">
      <c r="A3" s="29" t="s">
        <v>452</v>
      </c>
      <c r="B3" s="29" t="s">
        <v>453</v>
      </c>
      <c r="C3" s="29" t="s">
        <v>454</v>
      </c>
      <c r="E3" s="29" t="s">
        <v>452</v>
      </c>
      <c r="F3" s="29" t="s">
        <v>453</v>
      </c>
      <c r="G3" s="29" t="s">
        <v>454</v>
      </c>
      <c r="I3" s="34" t="s">
        <v>452</v>
      </c>
      <c r="J3" s="35" t="s">
        <v>453</v>
      </c>
      <c r="K3" s="35" t="s">
        <v>454</v>
      </c>
      <c r="M3" s="34" t="s">
        <v>452</v>
      </c>
      <c r="N3" s="35" t="s">
        <v>453</v>
      </c>
      <c r="O3" s="35" t="s">
        <v>454</v>
      </c>
    </row>
    <row r="4" spans="1:15" x14ac:dyDescent="0.2">
      <c r="A4" s="30">
        <v>0</v>
      </c>
      <c r="B4" s="31">
        <v>0</v>
      </c>
      <c r="C4" s="32">
        <v>100</v>
      </c>
      <c r="E4" s="31">
        <v>0</v>
      </c>
      <c r="F4" s="31">
        <v>0</v>
      </c>
      <c r="G4" s="32">
        <v>1</v>
      </c>
      <c r="I4" s="36">
        <v>0</v>
      </c>
      <c r="J4" s="37">
        <v>3</v>
      </c>
      <c r="K4" s="38">
        <v>50</v>
      </c>
      <c r="M4" s="36">
        <v>0</v>
      </c>
      <c r="N4" s="37">
        <v>1</v>
      </c>
      <c r="O4" s="38">
        <v>50</v>
      </c>
    </row>
    <row r="5" spans="1:15" x14ac:dyDescent="0.2">
      <c r="A5" s="30">
        <v>0.01</v>
      </c>
      <c r="B5" s="31">
        <v>100</v>
      </c>
      <c r="C5" s="32">
        <v>0</v>
      </c>
      <c r="E5" s="30">
        <v>0.01</v>
      </c>
      <c r="F5" s="31">
        <v>90</v>
      </c>
      <c r="G5" s="32">
        <v>0</v>
      </c>
      <c r="I5" s="36">
        <v>3.01</v>
      </c>
      <c r="J5" s="37">
        <v>6</v>
      </c>
      <c r="K5" s="38">
        <v>25</v>
      </c>
      <c r="M5" s="36">
        <v>1.01</v>
      </c>
      <c r="N5" s="37">
        <v>2</v>
      </c>
      <c r="O5" s="38">
        <v>25</v>
      </c>
    </row>
    <row r="6" spans="1:15" x14ac:dyDescent="0.2">
      <c r="I6" s="20">
        <v>6.01</v>
      </c>
      <c r="J6" s="37">
        <v>90</v>
      </c>
      <c r="K6" s="20">
        <v>0</v>
      </c>
      <c r="M6" s="20">
        <v>2.0099999999999998</v>
      </c>
      <c r="N6" s="20">
        <v>90</v>
      </c>
      <c r="O6" s="20">
        <v>0</v>
      </c>
    </row>
  </sheetData>
  <mergeCells count="4">
    <mergeCell ref="A2:C2"/>
    <mergeCell ref="E2:G2"/>
    <mergeCell ref="I2:K2"/>
    <mergeCell ref="M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B747-1B22-4A15-8D18-D662DC2BE072}">
  <sheetPr codeName="Sayfa6"/>
  <dimension ref="B7:I19"/>
  <sheetViews>
    <sheetView workbookViewId="0">
      <selection activeCell="D12" sqref="D12"/>
    </sheetView>
  </sheetViews>
  <sheetFormatPr defaultRowHeight="12.75" x14ac:dyDescent="0.2"/>
  <cols>
    <col min="2" max="2" width="16.42578125" bestFit="1" customWidth="1"/>
    <col min="4" max="4" width="14.140625" bestFit="1" customWidth="1"/>
    <col min="5" max="5" width="16" bestFit="1" customWidth="1"/>
    <col min="7" max="8" width="8.140625" customWidth="1"/>
  </cols>
  <sheetData>
    <row r="7" spans="2:9" x14ac:dyDescent="0.2">
      <c r="B7" s="69" t="s">
        <v>420</v>
      </c>
      <c r="C7" s="20" t="s">
        <v>466</v>
      </c>
      <c r="D7" s="20" t="s">
        <v>467</v>
      </c>
      <c r="E7" s="20" t="s">
        <v>480</v>
      </c>
      <c r="G7" s="144" t="s">
        <v>513</v>
      </c>
      <c r="H7" s="144"/>
      <c r="I7" s="144"/>
    </row>
    <row r="8" spans="2:9" x14ac:dyDescent="0.2">
      <c r="B8" s="20" t="s">
        <v>432</v>
      </c>
      <c r="C8" s="67">
        <v>50</v>
      </c>
      <c r="D8" s="67">
        <v>50</v>
      </c>
      <c r="E8" s="28">
        <f>D8/C8</f>
        <v>1</v>
      </c>
      <c r="G8" s="70" t="s">
        <v>511</v>
      </c>
      <c r="H8" s="70" t="s">
        <v>512</v>
      </c>
      <c r="I8" s="70" t="s">
        <v>510</v>
      </c>
    </row>
    <row r="9" spans="2:9" x14ac:dyDescent="0.2">
      <c r="B9" s="20" t="s">
        <v>423</v>
      </c>
      <c r="C9" s="67">
        <v>60</v>
      </c>
      <c r="D9" s="67">
        <v>60</v>
      </c>
      <c r="E9" s="28">
        <f t="shared" ref="E9:E19" si="0">D9/C9</f>
        <v>1</v>
      </c>
      <c r="G9" s="40">
        <v>0</v>
      </c>
      <c r="H9" s="40">
        <v>0</v>
      </c>
      <c r="I9" s="65">
        <v>0</v>
      </c>
    </row>
    <row r="10" spans="2:9" x14ac:dyDescent="0.2">
      <c r="B10" s="66" t="s">
        <v>430</v>
      </c>
      <c r="C10" s="67">
        <v>60</v>
      </c>
      <c r="D10" s="67">
        <v>60</v>
      </c>
      <c r="E10" s="28">
        <f t="shared" si="0"/>
        <v>1</v>
      </c>
      <c r="G10" s="40">
        <v>0.01</v>
      </c>
      <c r="H10" s="40">
        <v>0.24</v>
      </c>
      <c r="I10" s="65">
        <v>10</v>
      </c>
    </row>
    <row r="11" spans="2:9" x14ac:dyDescent="0.2">
      <c r="B11" s="66" t="s">
        <v>422</v>
      </c>
      <c r="C11" s="67">
        <v>50</v>
      </c>
      <c r="D11" s="67">
        <v>50</v>
      </c>
      <c r="E11" s="28">
        <f t="shared" si="0"/>
        <v>1</v>
      </c>
      <c r="G11" s="40">
        <v>0.25</v>
      </c>
      <c r="H11" s="40">
        <v>0.49</v>
      </c>
      <c r="I11" s="65">
        <v>30</v>
      </c>
    </row>
    <row r="12" spans="2:9" x14ac:dyDescent="0.2">
      <c r="B12" s="66" t="s">
        <v>421</v>
      </c>
      <c r="C12" s="67">
        <v>60</v>
      </c>
      <c r="D12" s="67">
        <v>60</v>
      </c>
      <c r="E12" s="28">
        <f t="shared" si="0"/>
        <v>1</v>
      </c>
      <c r="G12" s="40">
        <v>0.5</v>
      </c>
      <c r="H12" s="40">
        <v>0.74</v>
      </c>
      <c r="I12" s="65">
        <v>50</v>
      </c>
    </row>
    <row r="13" spans="2:9" x14ac:dyDescent="0.2">
      <c r="B13" s="66" t="s">
        <v>425</v>
      </c>
      <c r="C13" s="67">
        <v>30</v>
      </c>
      <c r="D13" s="67">
        <v>30</v>
      </c>
      <c r="E13" s="28">
        <f t="shared" si="0"/>
        <v>1</v>
      </c>
      <c r="G13" s="40">
        <v>0.75</v>
      </c>
      <c r="H13" s="40">
        <v>0.89</v>
      </c>
      <c r="I13" s="65">
        <v>70</v>
      </c>
    </row>
    <row r="14" spans="2:9" x14ac:dyDescent="0.2">
      <c r="B14" s="66" t="s">
        <v>427</v>
      </c>
      <c r="C14" s="67">
        <v>60</v>
      </c>
      <c r="D14" s="67">
        <v>60</v>
      </c>
      <c r="E14" s="28">
        <f t="shared" si="0"/>
        <v>1</v>
      </c>
      <c r="G14" s="40">
        <v>0.9</v>
      </c>
      <c r="H14" s="40">
        <v>1</v>
      </c>
      <c r="I14" s="65">
        <v>100</v>
      </c>
    </row>
    <row r="15" spans="2:9" x14ac:dyDescent="0.2">
      <c r="B15" s="66" t="s">
        <v>429</v>
      </c>
      <c r="C15" s="67">
        <v>60</v>
      </c>
      <c r="D15" s="67">
        <v>60</v>
      </c>
      <c r="E15" s="28">
        <f t="shared" si="0"/>
        <v>1</v>
      </c>
    </row>
    <row r="16" spans="2:9" x14ac:dyDescent="0.2">
      <c r="B16" s="66" t="s">
        <v>424</v>
      </c>
      <c r="C16" s="67">
        <v>60</v>
      </c>
      <c r="D16" s="67">
        <v>60</v>
      </c>
      <c r="E16" s="28">
        <f t="shared" si="0"/>
        <v>1</v>
      </c>
    </row>
    <row r="17" spans="2:5" x14ac:dyDescent="0.2">
      <c r="B17" s="66" t="s">
        <v>431</v>
      </c>
      <c r="C17" s="67">
        <v>45</v>
      </c>
      <c r="D17" s="67">
        <v>45</v>
      </c>
      <c r="E17" s="28">
        <f t="shared" si="0"/>
        <v>1</v>
      </c>
    </row>
    <row r="18" spans="2:5" x14ac:dyDescent="0.2">
      <c r="B18" s="66" t="s">
        <v>428</v>
      </c>
      <c r="C18" s="67">
        <v>70</v>
      </c>
      <c r="D18" s="67">
        <v>70</v>
      </c>
      <c r="E18" s="28">
        <f t="shared" si="0"/>
        <v>1</v>
      </c>
    </row>
    <row r="19" spans="2:5" x14ac:dyDescent="0.2">
      <c r="B19" s="25" t="s">
        <v>426</v>
      </c>
      <c r="C19" s="68">
        <v>50</v>
      </c>
      <c r="D19" s="68">
        <v>50</v>
      </c>
      <c r="E19" s="28">
        <f t="shared" si="0"/>
        <v>1</v>
      </c>
    </row>
  </sheetData>
  <mergeCells count="1">
    <mergeCell ref="G7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83AD-9ACE-4314-82CE-52405E48D7F6}">
  <sheetPr codeName="Sayfa7"/>
  <dimension ref="A2:K11"/>
  <sheetViews>
    <sheetView workbookViewId="0">
      <selection activeCell="G11" sqref="G11"/>
    </sheetView>
  </sheetViews>
  <sheetFormatPr defaultRowHeight="12.75" x14ac:dyDescent="0.2"/>
  <cols>
    <col min="7" max="7" width="14.140625" bestFit="1" customWidth="1"/>
    <col min="8" max="8" width="24.140625" bestFit="1" customWidth="1"/>
    <col min="9" max="9" width="14.5703125" bestFit="1" customWidth="1"/>
    <col min="10" max="10" width="18.140625" bestFit="1" customWidth="1"/>
    <col min="11" max="11" width="18.5703125" bestFit="1" customWidth="1"/>
  </cols>
  <sheetData>
    <row r="2" spans="1:11" x14ac:dyDescent="0.2">
      <c r="A2" s="41" t="s">
        <v>462</v>
      </c>
      <c r="B2" s="41" t="s">
        <v>463</v>
      </c>
      <c r="C2" s="41" t="s">
        <v>464</v>
      </c>
      <c r="D2" s="9"/>
      <c r="E2" s="20" t="s">
        <v>465</v>
      </c>
      <c r="F2" s="20" t="s">
        <v>466</v>
      </c>
      <c r="G2" s="20" t="s">
        <v>467</v>
      </c>
      <c r="H2" s="20" t="s">
        <v>468</v>
      </c>
      <c r="I2" s="23" t="s">
        <v>469</v>
      </c>
      <c r="J2" s="23" t="s">
        <v>470</v>
      </c>
      <c r="K2" s="23" t="s">
        <v>471</v>
      </c>
    </row>
    <row r="3" spans="1:11" x14ac:dyDescent="0.2">
      <c r="A3" s="42"/>
      <c r="B3" s="42"/>
      <c r="C3" s="43"/>
      <c r="D3" s="9"/>
      <c r="E3" s="20" t="s">
        <v>472</v>
      </c>
      <c r="F3" s="20">
        <v>93.5</v>
      </c>
      <c r="G3" s="20">
        <v>93.5</v>
      </c>
      <c r="H3" s="42">
        <f>G3/F3</f>
        <v>1</v>
      </c>
      <c r="I3" s="44">
        <f>VLOOKUP(H3,A2:C11,3,1)</f>
        <v>100</v>
      </c>
      <c r="J3" s="20">
        <v>0.85</v>
      </c>
      <c r="K3" s="20">
        <f>I3*J3</f>
        <v>85</v>
      </c>
    </row>
    <row r="4" spans="1:11" x14ac:dyDescent="0.2">
      <c r="A4" s="42">
        <v>0</v>
      </c>
      <c r="B4" s="42">
        <v>0.97099999999999997</v>
      </c>
      <c r="C4" s="43">
        <v>0</v>
      </c>
      <c r="D4" s="45"/>
      <c r="E4" s="20" t="s">
        <v>473</v>
      </c>
      <c r="F4" s="20">
        <v>70</v>
      </c>
      <c r="G4" s="20">
        <v>70</v>
      </c>
      <c r="H4" s="42">
        <f t="shared" ref="H4:H5" si="0">G4/F4</f>
        <v>1</v>
      </c>
      <c r="I4" s="44">
        <f t="shared" ref="I4:I5" si="1">VLOOKUP(H4,A3:C12,3,1)</f>
        <v>100</v>
      </c>
      <c r="J4" s="20">
        <v>0.1</v>
      </c>
      <c r="K4" s="20">
        <f t="shared" ref="K4:K5" si="2">I4*J4</f>
        <v>10</v>
      </c>
    </row>
    <row r="5" spans="1:11" x14ac:dyDescent="0.2">
      <c r="A5" s="42">
        <v>0.97199999999999998</v>
      </c>
      <c r="B5" s="42">
        <v>0.97699999999999998</v>
      </c>
      <c r="C5" s="43">
        <v>10</v>
      </c>
      <c r="D5" s="45"/>
      <c r="E5" s="20" t="s">
        <v>474</v>
      </c>
      <c r="F5" s="20">
        <v>93.5</v>
      </c>
      <c r="G5" s="20">
        <v>93.5</v>
      </c>
      <c r="H5" s="42">
        <f t="shared" si="0"/>
        <v>1</v>
      </c>
      <c r="I5" s="44">
        <f t="shared" si="1"/>
        <v>100</v>
      </c>
      <c r="J5" s="20">
        <v>0.05</v>
      </c>
      <c r="K5" s="20">
        <f t="shared" si="2"/>
        <v>5</v>
      </c>
    </row>
    <row r="6" spans="1:11" x14ac:dyDescent="0.2">
      <c r="A6" s="42">
        <v>0.97799999999999998</v>
      </c>
      <c r="B6" s="42">
        <v>0.98199999999999998</v>
      </c>
      <c r="C6" s="43">
        <v>30</v>
      </c>
      <c r="D6" s="46"/>
      <c r="E6" s="9"/>
      <c r="F6" s="9"/>
      <c r="G6" s="9"/>
      <c r="H6" s="9"/>
      <c r="I6" s="9"/>
      <c r="J6" s="20" t="s">
        <v>475</v>
      </c>
      <c r="K6" s="47">
        <f>SUM(K3:K5)</f>
        <v>100</v>
      </c>
    </row>
    <row r="7" spans="1:11" x14ac:dyDescent="0.2">
      <c r="A7" s="42">
        <v>0.98299999999999998</v>
      </c>
      <c r="B7" s="42">
        <v>0.98699999999999999</v>
      </c>
      <c r="C7" s="43">
        <v>50</v>
      </c>
      <c r="D7" s="46"/>
      <c r="E7" s="9"/>
      <c r="F7" s="9"/>
      <c r="G7" s="9"/>
      <c r="H7" s="9"/>
      <c r="I7" s="9"/>
      <c r="J7" s="9"/>
      <c r="K7" s="9"/>
    </row>
    <row r="8" spans="1:11" x14ac:dyDescent="0.2">
      <c r="A8" s="42">
        <v>0.98799999999999999</v>
      </c>
      <c r="B8" s="42">
        <v>0.99299999999999999</v>
      </c>
      <c r="C8" s="43">
        <v>70</v>
      </c>
      <c r="D8" s="46"/>
      <c r="E8" s="9"/>
      <c r="F8" s="9"/>
      <c r="G8" s="9"/>
      <c r="H8" s="9"/>
      <c r="I8" s="9"/>
      <c r="J8" s="9"/>
      <c r="K8" s="9"/>
    </row>
    <row r="9" spans="1:11" x14ac:dyDescent="0.2">
      <c r="A9" s="42">
        <v>0.99399999999999999</v>
      </c>
      <c r="B9" s="42">
        <v>0.999</v>
      </c>
      <c r="C9" s="48">
        <v>90</v>
      </c>
      <c r="D9" s="46"/>
      <c r="E9" s="9"/>
      <c r="F9" s="9"/>
      <c r="G9" s="9"/>
      <c r="H9" s="9"/>
      <c r="I9" s="9"/>
      <c r="J9" s="9"/>
      <c r="K9" s="9"/>
    </row>
    <row r="10" spans="1:11" x14ac:dyDescent="0.2">
      <c r="A10" s="42">
        <v>1</v>
      </c>
      <c r="B10" s="42">
        <v>5</v>
      </c>
      <c r="C10" s="48">
        <v>100</v>
      </c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42"/>
      <c r="B11" s="42"/>
      <c r="C11" s="48"/>
      <c r="D11" s="9"/>
      <c r="E11" s="9"/>
      <c r="F11" s="49"/>
      <c r="G11" s="9"/>
      <c r="H11" s="9"/>
      <c r="I11" s="9"/>
      <c r="J11" s="9"/>
      <c r="K11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E856-1D34-4449-BE55-B3C50A5D6C91}">
  <sheetPr codeName="Sayfa9"/>
  <dimension ref="A1:I15"/>
  <sheetViews>
    <sheetView tabSelected="1" workbookViewId="0">
      <selection activeCell="G11" sqref="G11"/>
    </sheetView>
  </sheetViews>
  <sheetFormatPr defaultRowHeight="12.75" x14ac:dyDescent="0.2"/>
  <cols>
    <col min="5" max="5" width="30.140625" bestFit="1" customWidth="1"/>
    <col min="6" max="6" width="6.85546875" bestFit="1" customWidth="1"/>
    <col min="7" max="7" width="14.140625" bestFit="1" customWidth="1"/>
    <col min="8" max="8" width="16" bestFit="1" customWidth="1"/>
    <col min="9" max="9" width="16.42578125" bestFit="1" customWidth="1"/>
  </cols>
  <sheetData>
    <row r="1" spans="1:9" x14ac:dyDescent="0.2">
      <c r="A1" s="145" t="s">
        <v>476</v>
      </c>
      <c r="B1" s="145"/>
      <c r="C1" s="145"/>
      <c r="D1" s="9"/>
      <c r="E1" s="50"/>
      <c r="F1" s="50"/>
      <c r="G1" s="51"/>
      <c r="H1" s="9"/>
      <c r="I1" s="9"/>
    </row>
    <row r="2" spans="1:9" x14ac:dyDescent="0.2">
      <c r="A2" s="41" t="s">
        <v>477</v>
      </c>
      <c r="B2" s="41" t="s">
        <v>478</v>
      </c>
      <c r="C2" s="41" t="s">
        <v>479</v>
      </c>
      <c r="D2" s="9"/>
      <c r="E2" s="50"/>
      <c r="F2" s="50"/>
      <c r="G2" s="51"/>
      <c r="H2" s="9"/>
      <c r="I2" s="9"/>
    </row>
    <row r="3" spans="1:9" x14ac:dyDescent="0.2">
      <c r="A3" s="42"/>
      <c r="B3" s="42"/>
      <c r="C3" s="52"/>
      <c r="D3" s="9"/>
      <c r="E3" s="9"/>
      <c r="F3" s="9"/>
      <c r="G3" s="9"/>
      <c r="H3" s="9"/>
      <c r="I3" s="9"/>
    </row>
    <row r="4" spans="1:9" x14ac:dyDescent="0.2">
      <c r="A4" s="42">
        <v>0</v>
      </c>
      <c r="B4" s="42">
        <v>1.054</v>
      </c>
      <c r="C4" s="52">
        <v>100</v>
      </c>
      <c r="D4" s="9"/>
      <c r="E4" s="9"/>
      <c r="F4" s="9"/>
      <c r="G4" s="9"/>
      <c r="H4" s="9"/>
      <c r="I4" s="9"/>
    </row>
    <row r="5" spans="1:9" x14ac:dyDescent="0.2">
      <c r="A5" s="42">
        <v>1.0549999999999999</v>
      </c>
      <c r="B5" s="42">
        <v>1.08</v>
      </c>
      <c r="C5" s="52">
        <v>90</v>
      </c>
      <c r="D5" s="9"/>
      <c r="E5" s="20" t="s">
        <v>465</v>
      </c>
      <c r="F5" s="20" t="s">
        <v>466</v>
      </c>
      <c r="G5" s="20" t="s">
        <v>467</v>
      </c>
      <c r="H5" s="20" t="s">
        <v>480</v>
      </c>
      <c r="I5" s="47" t="s">
        <v>481</v>
      </c>
    </row>
    <row r="6" spans="1:9" x14ac:dyDescent="0.2">
      <c r="A6" s="42">
        <v>1.081</v>
      </c>
      <c r="B6" s="42">
        <v>1.1060000000000001</v>
      </c>
      <c r="C6" s="52">
        <v>80</v>
      </c>
      <c r="D6" s="9"/>
      <c r="E6" s="53" t="s">
        <v>482</v>
      </c>
      <c r="F6" s="54">
        <v>0.09</v>
      </c>
      <c r="G6" s="20"/>
      <c r="H6" s="42"/>
      <c r="I6" s="20"/>
    </row>
    <row r="7" spans="1:9" x14ac:dyDescent="0.2">
      <c r="A7" s="42">
        <v>1.107</v>
      </c>
      <c r="B7" s="42">
        <v>1.133</v>
      </c>
      <c r="C7" s="52">
        <v>60</v>
      </c>
      <c r="D7" s="9"/>
      <c r="E7" s="53" t="s">
        <v>483</v>
      </c>
      <c r="F7" s="28">
        <v>0.92</v>
      </c>
      <c r="G7" s="20"/>
      <c r="H7" s="42"/>
      <c r="I7" s="20"/>
    </row>
    <row r="8" spans="1:9" x14ac:dyDescent="0.2">
      <c r="A8" s="42">
        <v>1.1339999999999999</v>
      </c>
      <c r="B8" s="42">
        <v>1.159</v>
      </c>
      <c r="C8" s="52">
        <v>40</v>
      </c>
      <c r="D8" s="9"/>
      <c r="E8" s="53" t="s">
        <v>484</v>
      </c>
      <c r="F8" s="28">
        <v>0.81</v>
      </c>
      <c r="G8" s="20"/>
      <c r="H8" s="42"/>
      <c r="I8" s="20"/>
    </row>
    <row r="9" spans="1:9" x14ac:dyDescent="0.2">
      <c r="A9" s="42">
        <v>1.1599999999999999</v>
      </c>
      <c r="B9" s="42">
        <v>1.21</v>
      </c>
      <c r="C9" s="52">
        <v>15</v>
      </c>
      <c r="D9" s="9"/>
      <c r="E9" s="53" t="s">
        <v>485</v>
      </c>
      <c r="F9" s="28">
        <v>0.17</v>
      </c>
      <c r="G9" s="20"/>
      <c r="H9" s="42"/>
      <c r="I9" s="20"/>
    </row>
    <row r="10" spans="1:9" x14ac:dyDescent="0.2">
      <c r="A10" s="42">
        <v>1.2104999999999999</v>
      </c>
      <c r="B10" s="42">
        <v>1.5</v>
      </c>
      <c r="C10" s="52">
        <v>0</v>
      </c>
      <c r="D10" s="9"/>
      <c r="E10" s="53" t="s">
        <v>486</v>
      </c>
      <c r="F10" s="20">
        <f>SUM(F6:F9)</f>
        <v>1.99</v>
      </c>
      <c r="G10" s="20">
        <v>1.99</v>
      </c>
      <c r="H10" s="42">
        <f>G10/F10</f>
        <v>1</v>
      </c>
      <c r="I10" s="47">
        <f>VLOOKUP(H10,A1:C11,3,1)</f>
        <v>100</v>
      </c>
    </row>
    <row r="11" spans="1:9" x14ac:dyDescent="0.2">
      <c r="A11" s="42"/>
      <c r="B11" s="42"/>
      <c r="C11" s="52"/>
      <c r="D11" s="9"/>
      <c r="E11" s="9"/>
      <c r="F11" s="9"/>
      <c r="G11" s="9"/>
      <c r="H11" s="9"/>
      <c r="I11" s="9"/>
    </row>
    <row r="12" spans="1:9" x14ac:dyDescent="0.2">
      <c r="D12" s="9"/>
      <c r="E12" s="9"/>
      <c r="F12" s="9"/>
      <c r="G12" s="50"/>
      <c r="H12" s="9"/>
      <c r="I12" s="9"/>
    </row>
    <row r="13" spans="1:9" x14ac:dyDescent="0.2">
      <c r="D13" s="9"/>
      <c r="E13" s="9"/>
      <c r="F13" s="50"/>
      <c r="G13" s="50"/>
      <c r="H13" s="51"/>
      <c r="I13" s="9"/>
    </row>
    <row r="14" spans="1:9" x14ac:dyDescent="0.2">
      <c r="D14" s="9"/>
      <c r="E14" s="9"/>
      <c r="F14" s="50"/>
      <c r="G14" s="50"/>
      <c r="H14" s="50"/>
      <c r="I14" s="50"/>
    </row>
    <row r="15" spans="1:9" x14ac:dyDescent="0.2">
      <c r="D15" s="9"/>
      <c r="E15" s="9"/>
      <c r="F15" s="50"/>
      <c r="G15" s="50"/>
      <c r="H15" s="50"/>
      <c r="I15" s="50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E4B7-3F56-484D-A253-E7323FD84B36}">
  <sheetPr codeName="Sayfa8">
    <tabColor rgb="FF92D050"/>
  </sheetPr>
  <dimension ref="A1:AI319"/>
  <sheetViews>
    <sheetView zoomScale="80" zoomScaleNormal="80" workbookViewId="0">
      <pane xSplit="8" ySplit="2" topLeftCell="O39" activePane="bottomRight" state="frozen"/>
      <selection pane="topRight" activeCell="I1" sqref="I1"/>
      <selection pane="bottomLeft" activeCell="A3" sqref="A3"/>
      <selection pane="bottomRight" activeCell="H10" sqref="H10"/>
    </sheetView>
  </sheetViews>
  <sheetFormatPr defaultRowHeight="12.75" x14ac:dyDescent="0.2"/>
  <cols>
    <col min="2" max="2" width="26.5703125" bestFit="1" customWidth="1"/>
    <col min="3" max="3" width="10.85546875" bestFit="1" customWidth="1"/>
    <col min="4" max="4" width="15.85546875" customWidth="1"/>
    <col min="5" max="5" width="18.140625" bestFit="1" customWidth="1"/>
    <col min="6" max="6" width="15.85546875" customWidth="1"/>
    <col min="7" max="7" width="36" bestFit="1" customWidth="1"/>
    <col min="8" max="8" width="12.85546875" bestFit="1" customWidth="1"/>
    <col min="9" max="9" width="8" customWidth="1"/>
    <col min="10" max="10" width="11.42578125" customWidth="1"/>
    <col min="11" max="11" width="9.5703125" customWidth="1"/>
    <col min="12" max="12" width="14.140625" customWidth="1"/>
    <col min="13" max="13" width="9.140625" customWidth="1"/>
    <col min="14" max="14" width="8.5703125" customWidth="1"/>
    <col min="15" max="15" width="8.85546875" customWidth="1"/>
    <col min="16" max="16" width="9.42578125" customWidth="1"/>
    <col min="17" max="17" width="11.85546875" hidden="1" customWidth="1"/>
    <col min="18" max="19" width="8.85546875" hidden="1" customWidth="1"/>
    <col min="20" max="20" width="11.140625" hidden="1" customWidth="1"/>
    <col min="21" max="21" width="17.5703125" hidden="1" customWidth="1"/>
    <col min="22" max="22" width="17" hidden="1" customWidth="1"/>
    <col min="23" max="23" width="18.5703125" customWidth="1"/>
    <col min="24" max="25" width="9.85546875" customWidth="1"/>
    <col min="26" max="26" width="10.5703125" customWidth="1"/>
    <col min="27" max="27" width="14.85546875" customWidth="1"/>
    <col min="28" max="28" width="8.85546875" customWidth="1"/>
    <col min="29" max="29" width="9.5703125" customWidth="1"/>
    <col min="30" max="30" width="8.42578125" customWidth="1"/>
    <col min="32" max="32" width="11.85546875" style="78" customWidth="1"/>
    <col min="33" max="33" width="24.140625" bestFit="1" customWidth="1"/>
    <col min="35" max="35" width="10.42578125" bestFit="1" customWidth="1"/>
  </cols>
  <sheetData>
    <row r="1" spans="1:35" x14ac:dyDescent="0.2">
      <c r="U1" s="77">
        <v>72.498494288681215</v>
      </c>
      <c r="Z1" s="78"/>
      <c r="AA1" s="79">
        <f>AVERAGE(AA3:AA319)</f>
        <v>72.512460567823425</v>
      </c>
      <c r="AI1" s="79">
        <f>AA1</f>
        <v>72.512460567823425</v>
      </c>
    </row>
    <row r="2" spans="1:35" s="89" customFormat="1" ht="51" x14ac:dyDescent="0.2">
      <c r="A2" s="80" t="s">
        <v>369</v>
      </c>
      <c r="B2" s="81" t="s">
        <v>369</v>
      </c>
      <c r="C2" s="81" t="s">
        <v>370</v>
      </c>
      <c r="D2" s="81" t="s">
        <v>372</v>
      </c>
      <c r="E2" s="81" t="s">
        <v>419</v>
      </c>
      <c r="F2" s="81" t="s">
        <v>420</v>
      </c>
      <c r="G2" s="81" t="s">
        <v>371</v>
      </c>
      <c r="H2" s="81" t="s">
        <v>435</v>
      </c>
      <c r="I2" s="82" t="s">
        <v>373</v>
      </c>
      <c r="J2" s="83" t="s">
        <v>374</v>
      </c>
      <c r="K2" s="82" t="s">
        <v>375</v>
      </c>
      <c r="L2" s="83" t="s">
        <v>376</v>
      </c>
      <c r="M2" s="84" t="s">
        <v>377</v>
      </c>
      <c r="N2" s="83" t="s">
        <v>378</v>
      </c>
      <c r="O2" s="84" t="s">
        <v>379</v>
      </c>
      <c r="P2" s="83" t="s">
        <v>380</v>
      </c>
      <c r="Q2" s="82" t="s">
        <v>381</v>
      </c>
      <c r="R2" s="83" t="s">
        <v>382</v>
      </c>
      <c r="S2" s="84" t="s">
        <v>383</v>
      </c>
      <c r="T2" s="83" t="s">
        <v>384</v>
      </c>
      <c r="U2" s="84" t="s">
        <v>385</v>
      </c>
      <c r="V2" s="85" t="s">
        <v>386</v>
      </c>
      <c r="W2" s="83" t="s">
        <v>381</v>
      </c>
      <c r="X2" s="87" t="s">
        <v>461</v>
      </c>
      <c r="Y2" s="83" t="s">
        <v>387</v>
      </c>
      <c r="Z2" s="85" t="s">
        <v>388</v>
      </c>
      <c r="AA2" s="86" t="s">
        <v>389</v>
      </c>
      <c r="AB2" s="87" t="s">
        <v>390</v>
      </c>
      <c r="AC2" s="85" t="s">
        <v>391</v>
      </c>
      <c r="AD2" s="87" t="s">
        <v>392</v>
      </c>
      <c r="AE2" s="85" t="s">
        <v>393</v>
      </c>
      <c r="AF2" s="91" t="s">
        <v>488</v>
      </c>
      <c r="AG2" s="88" t="s">
        <v>520</v>
      </c>
      <c r="AI2" s="90">
        <v>44651</v>
      </c>
    </row>
    <row r="3" spans="1:35" x14ac:dyDescent="0.2">
      <c r="A3" s="2">
        <v>12</v>
      </c>
      <c r="B3" s="3" t="s">
        <v>0</v>
      </c>
      <c r="C3" s="4">
        <v>33434</v>
      </c>
      <c r="D3" s="5">
        <f t="shared" ref="D3:D22" si="0">IF($AI$2-C3&gt;=90,90,$AI$2-C3)</f>
        <v>90</v>
      </c>
      <c r="E3" s="6">
        <f t="shared" ref="E3:E66" si="1">D3/90</f>
        <v>1</v>
      </c>
      <c r="F3" s="25" t="s">
        <v>422</v>
      </c>
      <c r="G3" s="3" t="s">
        <v>1</v>
      </c>
      <c r="H3" s="1" t="str">
        <f>VLOOKUP(A3,'Çalışan Listesi'!A:G,7,0)</f>
        <v>SÜPERVİZÖR</v>
      </c>
      <c r="I3" s="65">
        <f>IFERROR(VLOOKUP(A3,'Kaizen Listesi'!A:H,8,0),0)</f>
        <v>0</v>
      </c>
      <c r="J3" s="65">
        <f>I3*VLOOKUP($I$2,'Kriter Ağırlık'!$A$1:$B$8,2,0)</f>
        <v>0</v>
      </c>
      <c r="K3" s="65">
        <f>IFERROR(VLOOKUP(A3,'Hata Kartı '!A:H,8,0),0)</f>
        <v>0</v>
      </c>
      <c r="L3" s="65">
        <f>K3*(VLOOKUP($K$2,'Kriter Ağırlık'!$A$1:$B$8,2,0))</f>
        <v>0</v>
      </c>
      <c r="M3" s="65">
        <f>IFERROR(VLOOKUP(F3,'5S'!$B$8:$E$19,4,0),0)</f>
        <v>1</v>
      </c>
      <c r="N3" s="65">
        <f>VLOOKUP(M3,'5S'!$G$8:$I$14,3,1)*VLOOKUP($M$2,'Kriter Ağırlık'!$A$1:$B$8,2,0)*E3*X3</f>
        <v>8</v>
      </c>
      <c r="O3" s="1">
        <f>IFERROR(VLOOKUP(A3,Devamsızlıklar!A:K,10,0),0)</f>
        <v>0</v>
      </c>
      <c r="P3" s="40">
        <f>VLOOKUP(O3,Aralıklar!$A$2:$C$5,3,1)*VLOOKUP($O$2,'Kriter Ağırlık'!$A$1:$B$8,2,0)*E3*X3</f>
        <v>10</v>
      </c>
      <c r="Q3" s="1">
        <f>IFERROR(VLOOKUP(A3,Devamsızlıklar!A:K,8,0),0)</f>
        <v>0</v>
      </c>
      <c r="R3" s="1">
        <f>VLOOKUP(Q3,Aralıklar!$E$2:$G$5,3,1)</f>
        <v>1</v>
      </c>
      <c r="S3" s="1">
        <f>IFERROR(VLOOKUP(A3,Devamsızlıklar!A:K,9,0),0)</f>
        <v>0</v>
      </c>
      <c r="T3" s="1">
        <f>VLOOKUP(S3,Aralıklar!$I$2:$K$6,3,1)</f>
        <v>50</v>
      </c>
      <c r="U3" s="1">
        <f>IFERROR(VLOOKUP(A3,Devamsızlıklar!A:K,11,0),0)</f>
        <v>0</v>
      </c>
      <c r="V3" s="1">
        <f>VLOOKUP(U3,Aralıklar!$M$2:$O$6,3,1)</f>
        <v>50</v>
      </c>
      <c r="W3" s="40">
        <f>IF(X3=0,0,(T3+V3)*R3*VLOOKUP($W$2,'Kriter Ağırlık'!$A$1:$B$8,2,1)*E3)</f>
        <v>10</v>
      </c>
      <c r="X3" s="40">
        <f>IFERROR(VLOOKUP(A3,Devamsızlıklar!A:M,13,0),1)</f>
        <v>1</v>
      </c>
      <c r="Y3" s="40">
        <f>(OEE!$K$6*VLOOKUP($Y$2,'Kriter Ağırlık'!$A$1:$B$8,2,1))*X3*E3</f>
        <v>35</v>
      </c>
      <c r="Z3" s="40">
        <f>(TELEF!$I$10*VLOOKUP($Z$2,'Kriter Ağırlık'!$A$1:$B$8,2,1))*X3*E3</f>
        <v>15</v>
      </c>
      <c r="AA3" s="40">
        <f t="shared" ref="AA3:AA66" si="2">J3+L3+N3+P3+W3+Y3+Z3</f>
        <v>78</v>
      </c>
      <c r="AB3" s="1">
        <v>2</v>
      </c>
      <c r="AC3" s="1">
        <f>VLOOKUP(AB3,'Kriter Ağırlık'!$A$12:$C$17,3,0)</f>
        <v>0</v>
      </c>
      <c r="AD3" s="75">
        <v>1</v>
      </c>
      <c r="AE3" s="1">
        <f>VLOOKUP(AD3,'Kriter Ağırlık'!$E$12:$G$24,3,0)</f>
        <v>1</v>
      </c>
      <c r="AF3" s="92">
        <f t="shared" ref="AF3:AF66" si="3">AA3*AC3*AE3</f>
        <v>0</v>
      </c>
      <c r="AG3" t="str">
        <f>VLOOKUP(A3,'Çalışan Listesi'!A:G,6,0)</f>
        <v>GRUP LİDERİ</v>
      </c>
    </row>
    <row r="4" spans="1:35" x14ac:dyDescent="0.2">
      <c r="A4" s="2">
        <v>15</v>
      </c>
      <c r="B4" s="3" t="s">
        <v>2</v>
      </c>
      <c r="C4" s="4">
        <v>33451</v>
      </c>
      <c r="D4" s="5">
        <f t="shared" si="0"/>
        <v>90</v>
      </c>
      <c r="E4" s="6">
        <f t="shared" si="1"/>
        <v>1</v>
      </c>
      <c r="F4" s="25" t="s">
        <v>433</v>
      </c>
      <c r="G4" s="3" t="s">
        <v>3</v>
      </c>
      <c r="H4" s="106" t="str">
        <f>VLOOKUP(A4,'Çalışan Listesi'!A:G,7,0)</f>
        <v>EKİP LİDERİ</v>
      </c>
      <c r="I4" s="65">
        <f>IFERROR(VLOOKUP(A4,'Kaizen Listesi'!A:H,8,0),0)</f>
        <v>0</v>
      </c>
      <c r="J4" s="65">
        <f>I4*VLOOKUP($I$2,'Kriter Ağırlık'!$A$1:$B$8,2,0)</f>
        <v>0</v>
      </c>
      <c r="K4" s="65">
        <f>IFERROR(VLOOKUP(A4,'Hata Kartı '!A:H,8,0),0)</f>
        <v>16.666666666666668</v>
      </c>
      <c r="L4" s="65">
        <f>K4*(VLOOKUP($K$2,'Kriter Ağırlık'!$A$1:$B$8,2,0))</f>
        <v>1.666666666666667</v>
      </c>
      <c r="M4" s="65">
        <f>IFERROR(VLOOKUP(F4,'5S'!$B$8:$E$19,4,0),0)</f>
        <v>0</v>
      </c>
      <c r="N4" s="65">
        <f>VLOOKUP(M4,'5S'!$G$8:$I$14,3,1)*VLOOKUP($M$2,'Kriter Ağırlık'!$A$1:$B$8,2,0)*E4*X4</f>
        <v>0</v>
      </c>
      <c r="O4" s="1">
        <f>IFERROR(VLOOKUP(A4,Devamsızlıklar!A:K,10,0),0)</f>
        <v>0</v>
      </c>
      <c r="P4" s="40">
        <f>VLOOKUP(O4,Aralıklar!$A$2:$C$5,3,1)*VLOOKUP($O$2,'Kriter Ağırlık'!$A$1:$B$8,2,0)*E4*X4</f>
        <v>10</v>
      </c>
      <c r="Q4" s="1">
        <f>IFERROR(VLOOKUP(A4,Devamsızlıklar!A:K,8,0),0)</f>
        <v>0</v>
      </c>
      <c r="R4" s="33">
        <f>VLOOKUP(Q4,Aralıklar!$E$2:$G$5,3,1)</f>
        <v>1</v>
      </c>
      <c r="S4" s="33">
        <f>IFERROR(VLOOKUP(A4,Devamsızlıklar!A:K,9,0),0)</f>
        <v>0</v>
      </c>
      <c r="T4" s="33">
        <f>VLOOKUP(S4,Aralıklar!$I$2:$K$6,3,1)</f>
        <v>50</v>
      </c>
      <c r="U4" s="33">
        <f>IFERROR(VLOOKUP(A4,Devamsızlıklar!A:K,11,0),0)</f>
        <v>0</v>
      </c>
      <c r="V4" s="33">
        <f>VLOOKUP(U4,Aralıklar!$M$2:$O$6,3,1)</f>
        <v>50</v>
      </c>
      <c r="W4" s="40">
        <f>IF(X4=0,0,(T4+V4)*R4*VLOOKUP($W$2,'Kriter Ağırlık'!$A$1:$B$8,2,1)*E4)</f>
        <v>10</v>
      </c>
      <c r="X4" s="40">
        <f>IFERROR(VLOOKUP(A4,Devamsızlıklar!A:M,13,0),1)</f>
        <v>1</v>
      </c>
      <c r="Y4" s="40">
        <f>(OEE!$K$6*VLOOKUP($Y$2,'Kriter Ağırlık'!$A$1:$B$8,2,1))*X4*E4</f>
        <v>35</v>
      </c>
      <c r="Z4" s="40">
        <f>(TELEF!$I$10*VLOOKUP($Z$2,'Kriter Ağırlık'!$A$1:$B$8,2,1))*X4*E4</f>
        <v>15</v>
      </c>
      <c r="AA4" s="40">
        <f t="shared" si="2"/>
        <v>71.666666666666671</v>
      </c>
      <c r="AB4" s="1">
        <v>1</v>
      </c>
      <c r="AC4" s="33">
        <f>VLOOKUP(AB4,'Kriter Ağırlık'!$A$12:$C$17,3,0)</f>
        <v>0</v>
      </c>
      <c r="AD4" s="75">
        <v>1</v>
      </c>
      <c r="AE4" s="33">
        <f>VLOOKUP(AD4,'Kriter Ağırlık'!$E$12:$G$24,3,0)</f>
        <v>1</v>
      </c>
      <c r="AF4" s="92">
        <f t="shared" si="3"/>
        <v>0</v>
      </c>
      <c r="AG4" t="str">
        <f>VLOOKUP(A4,'Çalışan Listesi'!A:G,6,0)</f>
        <v>ŞEF LİDER</v>
      </c>
    </row>
    <row r="5" spans="1:35" x14ac:dyDescent="0.2">
      <c r="A5" s="2">
        <v>39</v>
      </c>
      <c r="B5" s="3" t="s">
        <v>4</v>
      </c>
      <c r="C5" s="4">
        <v>42954</v>
      </c>
      <c r="D5" s="5">
        <f t="shared" si="0"/>
        <v>90</v>
      </c>
      <c r="E5" s="6">
        <f t="shared" si="1"/>
        <v>1</v>
      </c>
      <c r="F5" s="25" t="s">
        <v>425</v>
      </c>
      <c r="G5" s="3" t="s">
        <v>5</v>
      </c>
      <c r="H5" s="106" t="str">
        <f>VLOOKUP(A5,'Çalışan Listesi'!A:G,7,0)</f>
        <v>EKİP LİDERİ</v>
      </c>
      <c r="I5" s="65">
        <f>IFERROR(VLOOKUP(A5,'Kaizen Listesi'!A:H,8,0),0)</f>
        <v>0</v>
      </c>
      <c r="J5" s="65">
        <f>I5*VLOOKUP($I$2,'Kriter Ağırlık'!$A$1:$B$8,2,0)</f>
        <v>0</v>
      </c>
      <c r="K5" s="65">
        <f>IFERROR(VLOOKUP(A5,'Hata Kartı '!A:H,8,0),0)</f>
        <v>0</v>
      </c>
      <c r="L5" s="65">
        <f>K5*(VLOOKUP($K$2,'Kriter Ağırlık'!$A$1:$B$8,2,0))</f>
        <v>0</v>
      </c>
      <c r="M5" s="65">
        <f>IFERROR(VLOOKUP(F5,'5S'!$B$8:$E$19,4,0),0)</f>
        <v>1</v>
      </c>
      <c r="N5" s="65">
        <f>VLOOKUP(M5,'5S'!$G$8:$I$14,3,1)*VLOOKUP($M$2,'Kriter Ağırlık'!$A$1:$B$8,2,0)*E5*X5</f>
        <v>8</v>
      </c>
      <c r="O5" s="1">
        <f>IFERROR(VLOOKUP(A5,Devamsızlıklar!A:K,10,0),0)</f>
        <v>0</v>
      </c>
      <c r="P5" s="40">
        <f>VLOOKUP(O5,Aralıklar!$A$2:$C$5,3,1)*VLOOKUP($O$2,'Kriter Ağırlık'!$A$1:$B$8,2,0)*E5*X5</f>
        <v>10</v>
      </c>
      <c r="Q5" s="1">
        <f>IFERROR(VLOOKUP(A5,Devamsızlıklar!A:K,8,0),0)</f>
        <v>0</v>
      </c>
      <c r="R5" s="33">
        <f>VLOOKUP(Q5,Aralıklar!$E$2:$G$5,3,1)</f>
        <v>1</v>
      </c>
      <c r="S5" s="33">
        <f>IFERROR(VLOOKUP(A5,Devamsızlıklar!A:K,9,0),0)</f>
        <v>0</v>
      </c>
      <c r="T5" s="33">
        <f>VLOOKUP(S5,Aralıklar!$I$2:$K$6,3,1)</f>
        <v>50</v>
      </c>
      <c r="U5" s="33">
        <f>IFERROR(VLOOKUP(A5,Devamsızlıklar!A:K,11,0),0)</f>
        <v>0</v>
      </c>
      <c r="V5" s="33">
        <f>VLOOKUP(U5,Aralıklar!$M$2:$O$6,3,1)</f>
        <v>50</v>
      </c>
      <c r="W5" s="40">
        <f>IF(X5=0,0,(T5+V5)*R5*VLOOKUP($W$2,'Kriter Ağırlık'!$A$1:$B$8,2,1)*E5)</f>
        <v>10</v>
      </c>
      <c r="X5" s="40">
        <f>IFERROR(VLOOKUP(A5,Devamsızlıklar!A:M,13,0),1)</f>
        <v>1</v>
      </c>
      <c r="Y5" s="40">
        <f>(OEE!$K$6*VLOOKUP($Y$2,'Kriter Ağırlık'!$A$1:$B$8,2,1))*X5*E5</f>
        <v>35</v>
      </c>
      <c r="Z5" s="40">
        <f>(TELEF!$I$10*VLOOKUP($Z$2,'Kriter Ağırlık'!$A$1:$B$8,2,1))*X5*E5</f>
        <v>15</v>
      </c>
      <c r="AA5" s="40">
        <f t="shared" si="2"/>
        <v>78</v>
      </c>
      <c r="AB5" s="1">
        <v>1</v>
      </c>
      <c r="AC5" s="33">
        <f>VLOOKUP(AB5,'Kriter Ağırlık'!$A$12:$C$17,3,0)</f>
        <v>0</v>
      </c>
      <c r="AD5" s="75">
        <v>1</v>
      </c>
      <c r="AE5" s="33">
        <f>VLOOKUP(AD5,'Kriter Ağırlık'!$E$12:$G$24,3,0)</f>
        <v>1</v>
      </c>
      <c r="AF5" s="92">
        <f t="shared" si="3"/>
        <v>0</v>
      </c>
      <c r="AG5" t="str">
        <f>VLOOKUP(A5,'Çalışan Listesi'!A:G,6,0)</f>
        <v>ŞEF LİDER</v>
      </c>
    </row>
    <row r="6" spans="1:35" x14ac:dyDescent="0.2">
      <c r="A6" s="2">
        <v>42</v>
      </c>
      <c r="B6" s="3" t="s">
        <v>6</v>
      </c>
      <c r="C6" s="4">
        <v>33569</v>
      </c>
      <c r="D6" s="5">
        <f t="shared" si="0"/>
        <v>90</v>
      </c>
      <c r="E6" s="6">
        <f t="shared" si="1"/>
        <v>1</v>
      </c>
      <c r="F6" s="25" t="s">
        <v>430</v>
      </c>
      <c r="G6" s="3" t="s">
        <v>7</v>
      </c>
      <c r="H6" s="106" t="str">
        <f>VLOOKUP(A6,'Çalışan Listesi'!A:G,7,0)</f>
        <v>4.KADEME</v>
      </c>
      <c r="I6" s="65">
        <f>IFERROR(VLOOKUP(A6,'Kaizen Listesi'!A:H,8,0),0)</f>
        <v>0</v>
      </c>
      <c r="J6" s="65">
        <f>I6*VLOOKUP($I$2,'Kriter Ağırlık'!$A$1:$B$8,2,0)</f>
        <v>0</v>
      </c>
      <c r="K6" s="65">
        <f>IFERROR(VLOOKUP(A6,'Hata Kartı '!A:H,8,0),0)</f>
        <v>0</v>
      </c>
      <c r="L6" s="65">
        <f>K6*(VLOOKUP($K$2,'Kriter Ağırlık'!$A$1:$B$8,2,0))</f>
        <v>0</v>
      </c>
      <c r="M6" s="65">
        <f>IFERROR(VLOOKUP(F6,'5S'!$B$8:$E$19,4,0),0)</f>
        <v>1</v>
      </c>
      <c r="N6" s="65">
        <f>VLOOKUP(M6,'5S'!$G$8:$I$14,3,1)*VLOOKUP($M$2,'Kriter Ağırlık'!$A$1:$B$8,2,0)*E6*X6</f>
        <v>8</v>
      </c>
      <c r="O6" s="1">
        <f>IFERROR(VLOOKUP(A6,Devamsızlıklar!A:K,10,0),0)</f>
        <v>0</v>
      </c>
      <c r="P6" s="40">
        <f>VLOOKUP(O6,Aralıklar!$A$2:$C$5,3,1)*VLOOKUP($O$2,'Kriter Ağırlık'!$A$1:$B$8,2,0)*E6*X6</f>
        <v>10</v>
      </c>
      <c r="Q6" s="1">
        <f>IFERROR(VLOOKUP(A6,Devamsızlıklar!A:K,8,0),0)</f>
        <v>0</v>
      </c>
      <c r="R6" s="33">
        <f>VLOOKUP(Q6,Aralıklar!$E$2:$G$5,3,1)</f>
        <v>1</v>
      </c>
      <c r="S6" s="33">
        <f>IFERROR(VLOOKUP(A6,Devamsızlıklar!A:K,9,0),0)</f>
        <v>0</v>
      </c>
      <c r="T6" s="33">
        <f>VLOOKUP(S6,Aralıklar!$I$2:$K$6,3,1)</f>
        <v>50</v>
      </c>
      <c r="U6" s="33">
        <f>IFERROR(VLOOKUP(A6,Devamsızlıklar!A:K,11,0),0)</f>
        <v>0</v>
      </c>
      <c r="V6" s="33">
        <f>VLOOKUP(U6,Aralıklar!$M$2:$O$6,3,1)</f>
        <v>50</v>
      </c>
      <c r="W6" s="40">
        <f>IF(X6=0,0,(T6+V6)*R6*VLOOKUP($W$2,'Kriter Ağırlık'!$A$1:$B$8,2,1)*E6)</f>
        <v>10</v>
      </c>
      <c r="X6" s="40">
        <f>IFERROR(VLOOKUP(A6,Devamsızlıklar!A:M,13,0),1)</f>
        <v>1</v>
      </c>
      <c r="Y6" s="40">
        <f>(OEE!$K$6*VLOOKUP($Y$2,'Kriter Ağırlık'!$A$1:$B$8,2,1))*X6*E6</f>
        <v>35</v>
      </c>
      <c r="Z6" s="40">
        <f>(TELEF!$I$10*VLOOKUP($Z$2,'Kriter Ağırlık'!$A$1:$B$8,2,1))*X6*E6</f>
        <v>15</v>
      </c>
      <c r="AA6" s="40">
        <f t="shared" si="2"/>
        <v>78</v>
      </c>
      <c r="AB6" s="1">
        <v>5</v>
      </c>
      <c r="AC6" s="33">
        <f>VLOOKUP(AB6,'Kriter Ağırlık'!$A$12:$C$17,3,0)</f>
        <v>18.5</v>
      </c>
      <c r="AD6" s="1">
        <v>2</v>
      </c>
      <c r="AE6" s="33">
        <f>VLOOKUP(AD6,'Kriter Ağırlık'!$E$12:$G$24,3,0)</f>
        <v>1.232</v>
      </c>
      <c r="AF6" s="92">
        <f t="shared" si="3"/>
        <v>1777.7760000000001</v>
      </c>
      <c r="AG6" t="str">
        <f>VLOOKUP(A6,'Çalışan Listesi'!A:G,6,0)</f>
        <v>OPERATÖR</v>
      </c>
    </row>
    <row r="7" spans="1:35" x14ac:dyDescent="0.2">
      <c r="A7" s="2">
        <v>49</v>
      </c>
      <c r="B7" s="3" t="s">
        <v>8</v>
      </c>
      <c r="C7" s="4">
        <v>35760</v>
      </c>
      <c r="D7" s="5">
        <f t="shared" si="0"/>
        <v>90</v>
      </c>
      <c r="E7" s="6">
        <f t="shared" si="1"/>
        <v>1</v>
      </c>
      <c r="F7" s="25" t="s">
        <v>422</v>
      </c>
      <c r="G7" s="3" t="s">
        <v>1</v>
      </c>
      <c r="H7" s="106" t="str">
        <f>VLOOKUP(A7,'Çalışan Listesi'!A:G,7,0)</f>
        <v>SÜPERVİZÖR</v>
      </c>
      <c r="I7" s="65">
        <f>IFERROR(VLOOKUP(A7,'Kaizen Listesi'!A:H,8,0),0)</f>
        <v>0</v>
      </c>
      <c r="J7" s="65">
        <f>I7*VLOOKUP($I$2,'Kriter Ağırlık'!$A$1:$B$8,2,0)</f>
        <v>0</v>
      </c>
      <c r="K7" s="65">
        <f>IFERROR(VLOOKUP(A7,'Hata Kartı '!A:H,8,0),0)</f>
        <v>0</v>
      </c>
      <c r="L7" s="65">
        <f>K7*(VLOOKUP($K$2,'Kriter Ağırlık'!$A$1:$B$8,2,0))</f>
        <v>0</v>
      </c>
      <c r="M7" s="65">
        <f>IFERROR(VLOOKUP(F7,'5S'!$B$8:$E$19,4,0),0)</f>
        <v>1</v>
      </c>
      <c r="N7" s="65">
        <f>VLOOKUP(M7,'5S'!$G$8:$I$14,3,1)*VLOOKUP($M$2,'Kriter Ağırlık'!$A$1:$B$8,2,0)*E7*X7</f>
        <v>8</v>
      </c>
      <c r="O7" s="1">
        <f>IFERROR(VLOOKUP(A7,Devamsızlıklar!A:K,10,0),0)</f>
        <v>0</v>
      </c>
      <c r="P7" s="40">
        <f>VLOOKUP(O7,Aralıklar!$A$2:$C$5,3,1)*VLOOKUP($O$2,'Kriter Ağırlık'!$A$1:$B$8,2,0)*E7*X7</f>
        <v>10</v>
      </c>
      <c r="Q7" s="1">
        <f>IFERROR(VLOOKUP(A7,Devamsızlıklar!A:K,8,0),0)</f>
        <v>0</v>
      </c>
      <c r="R7" s="33">
        <f>VLOOKUP(Q7,Aralıklar!$E$2:$G$5,3,1)</f>
        <v>1</v>
      </c>
      <c r="S7" s="33">
        <f>IFERROR(VLOOKUP(A7,Devamsızlıklar!A:K,9,0),0)</f>
        <v>0</v>
      </c>
      <c r="T7" s="33">
        <f>VLOOKUP(S7,Aralıklar!$I$2:$K$6,3,1)</f>
        <v>50</v>
      </c>
      <c r="U7" s="33">
        <f>IFERROR(VLOOKUP(A7,Devamsızlıklar!A:K,11,0),0)</f>
        <v>0</v>
      </c>
      <c r="V7" s="33">
        <f>VLOOKUP(U7,Aralıklar!$M$2:$O$6,3,1)</f>
        <v>50</v>
      </c>
      <c r="W7" s="40">
        <f>IF(X7=0,0,(T7+V7)*R7*VLOOKUP($W$2,'Kriter Ağırlık'!$A$1:$B$8,2,1)*E7)</f>
        <v>10</v>
      </c>
      <c r="X7" s="40">
        <f>IFERROR(VLOOKUP(A7,Devamsızlıklar!A:M,13,0),1)</f>
        <v>1</v>
      </c>
      <c r="Y7" s="40">
        <f>(OEE!$K$6*VLOOKUP($Y$2,'Kriter Ağırlık'!$A$1:$B$8,2,1))*X7*E7</f>
        <v>35</v>
      </c>
      <c r="Z7" s="40">
        <f>(TELEF!$I$10*VLOOKUP($Z$2,'Kriter Ağırlık'!$A$1:$B$8,2,1))*X7*E7</f>
        <v>15</v>
      </c>
      <c r="AA7" s="40">
        <f t="shared" si="2"/>
        <v>78</v>
      </c>
      <c r="AB7" s="1">
        <v>2</v>
      </c>
      <c r="AC7" s="33">
        <f>VLOOKUP(AB7,'Kriter Ağırlık'!$A$12:$C$17,3,0)</f>
        <v>0</v>
      </c>
      <c r="AD7" s="75">
        <v>1</v>
      </c>
      <c r="AE7" s="33">
        <f>VLOOKUP(AD7,'Kriter Ağırlık'!$E$12:$G$24,3,0)</f>
        <v>1</v>
      </c>
      <c r="AF7" s="92">
        <f t="shared" si="3"/>
        <v>0</v>
      </c>
      <c r="AG7" t="str">
        <f>VLOOKUP(A7,'Çalışan Listesi'!A:G,6,0)</f>
        <v>GRUP LİDERİ</v>
      </c>
    </row>
    <row r="8" spans="1:35" x14ac:dyDescent="0.2">
      <c r="A8" s="2">
        <v>52</v>
      </c>
      <c r="B8" s="3" t="s">
        <v>9</v>
      </c>
      <c r="C8" s="4">
        <v>35962</v>
      </c>
      <c r="D8" s="5">
        <f t="shared" si="0"/>
        <v>90</v>
      </c>
      <c r="E8" s="6">
        <f t="shared" si="1"/>
        <v>1</v>
      </c>
      <c r="F8" s="25" t="s">
        <v>421</v>
      </c>
      <c r="G8" s="3" t="s">
        <v>10</v>
      </c>
      <c r="H8" s="106" t="str">
        <f>VLOOKUP(A8,'Çalışan Listesi'!A:G,7,0)</f>
        <v>3.KADEME</v>
      </c>
      <c r="I8" s="65">
        <f>IFERROR(VLOOKUP(A8,'Kaizen Listesi'!A:H,8,0),0)</f>
        <v>0</v>
      </c>
      <c r="J8" s="65">
        <f>I8*VLOOKUP($I$2,'Kriter Ağırlık'!$A$1:$B$8,2,0)</f>
        <v>0</v>
      </c>
      <c r="K8" s="65">
        <f>IFERROR(VLOOKUP(A8,'Hata Kartı '!A:H,8,0),0)</f>
        <v>0</v>
      </c>
      <c r="L8" s="65">
        <f>K8*(VLOOKUP($K$2,'Kriter Ağırlık'!$A$1:$B$8,2,0))</f>
        <v>0</v>
      </c>
      <c r="M8" s="65">
        <f>IFERROR(VLOOKUP(F8,'5S'!$B$8:$E$19,4,0),0)</f>
        <v>1</v>
      </c>
      <c r="N8" s="65">
        <f>VLOOKUP(M8,'5S'!$G$8:$I$14,3,1)*VLOOKUP($M$2,'Kriter Ağırlık'!$A$1:$B$8,2,0)*E8*X8</f>
        <v>8</v>
      </c>
      <c r="O8" s="1">
        <f>IFERROR(VLOOKUP(A8,Devamsızlıklar!A:K,10,0),0)</f>
        <v>0</v>
      </c>
      <c r="P8" s="40">
        <f>VLOOKUP(O8,Aralıklar!$A$2:$C$5,3,1)*VLOOKUP($O$2,'Kriter Ağırlık'!$A$1:$B$8,2,0)*E8*X8</f>
        <v>10</v>
      </c>
      <c r="Q8" s="1">
        <f>IFERROR(VLOOKUP(A8,Devamsızlıklar!A:K,8,0),0)</f>
        <v>0</v>
      </c>
      <c r="R8" s="33">
        <f>VLOOKUP(Q8,Aralıklar!$E$2:$G$5,3,1)</f>
        <v>1</v>
      </c>
      <c r="S8" s="33">
        <f>IFERROR(VLOOKUP(A8,Devamsızlıklar!A:K,9,0),0)</f>
        <v>0</v>
      </c>
      <c r="T8" s="33">
        <f>VLOOKUP(S8,Aralıklar!$I$2:$K$6,3,1)</f>
        <v>50</v>
      </c>
      <c r="U8" s="33">
        <f>IFERROR(VLOOKUP(A8,Devamsızlıklar!A:K,11,0),0)</f>
        <v>0</v>
      </c>
      <c r="V8" s="33">
        <f>VLOOKUP(U8,Aralıklar!$M$2:$O$6,3,1)</f>
        <v>50</v>
      </c>
      <c r="W8" s="40">
        <f>IF(X8=0,0,(T8+V8)*R8*VLOOKUP($W$2,'Kriter Ağırlık'!$A$1:$B$8,2,1)*E8)</f>
        <v>10</v>
      </c>
      <c r="X8" s="40">
        <f>IFERROR(VLOOKUP(A8,Devamsızlıklar!A:M,13,0),1)</f>
        <v>1</v>
      </c>
      <c r="Y8" s="40">
        <f>(OEE!$K$6*VLOOKUP($Y$2,'Kriter Ağırlık'!$A$1:$B$8,2,1))*X8*E8</f>
        <v>35</v>
      </c>
      <c r="Z8" s="40">
        <f>(TELEF!$I$10*VLOOKUP($Z$2,'Kriter Ağırlık'!$A$1:$B$8,2,1))*X8*E8</f>
        <v>15</v>
      </c>
      <c r="AA8" s="40">
        <f t="shared" si="2"/>
        <v>78</v>
      </c>
      <c r="AB8" s="1">
        <v>5</v>
      </c>
      <c r="AC8" s="33">
        <f>VLOOKUP(AB8,'Kriter Ağırlık'!$A$12:$C$17,3,0)</f>
        <v>18.5</v>
      </c>
      <c r="AD8" s="1">
        <v>3</v>
      </c>
      <c r="AE8" s="33">
        <f>VLOOKUP(AD8,'Kriter Ağırlık'!$E$12:$G$24,3,0)</f>
        <v>1.1499999999999999</v>
      </c>
      <c r="AF8" s="92">
        <f t="shared" si="3"/>
        <v>1659.4499999999998</v>
      </c>
      <c r="AG8" t="str">
        <f>VLOOKUP(A8,'Çalışan Listesi'!A:G,6,0)</f>
        <v>OPERATÖR</v>
      </c>
    </row>
    <row r="9" spans="1:35" x14ac:dyDescent="0.2">
      <c r="A9" s="2">
        <v>57</v>
      </c>
      <c r="B9" s="3" t="s">
        <v>11</v>
      </c>
      <c r="C9" s="4">
        <v>35485</v>
      </c>
      <c r="D9" s="5">
        <f t="shared" si="0"/>
        <v>90</v>
      </c>
      <c r="E9" s="6">
        <f t="shared" si="1"/>
        <v>1</v>
      </c>
      <c r="F9" s="25" t="s">
        <v>425</v>
      </c>
      <c r="G9" s="3" t="s">
        <v>12</v>
      </c>
      <c r="H9" s="106" t="str">
        <f>VLOOKUP(A9,'Çalışan Listesi'!A:G,7,0)</f>
        <v>3.KADEME</v>
      </c>
      <c r="I9" s="65">
        <f>IFERROR(VLOOKUP(A9,'Kaizen Listesi'!A:H,8,0),0)</f>
        <v>0</v>
      </c>
      <c r="J9" s="65">
        <f>I9*VLOOKUP($I$2,'Kriter Ağırlık'!$A$1:$B$8,2,0)</f>
        <v>0</v>
      </c>
      <c r="K9" s="65">
        <f>IFERROR(VLOOKUP(A9,'Hata Kartı '!A:H,8,0),0)</f>
        <v>66.666666666666671</v>
      </c>
      <c r="L9" s="65">
        <f>K9*(VLOOKUP($K$2,'Kriter Ağırlık'!$A$1:$B$8,2,0))</f>
        <v>6.6666666666666679</v>
      </c>
      <c r="M9" s="65">
        <f>IFERROR(VLOOKUP(F9,'5S'!$B$8:$E$19,4,0),0)</f>
        <v>1</v>
      </c>
      <c r="N9" s="65">
        <f>VLOOKUP(M9,'5S'!$G$8:$I$14,3,1)*VLOOKUP($M$2,'Kriter Ağırlık'!$A$1:$B$8,2,0)*E9*X9</f>
        <v>8</v>
      </c>
      <c r="O9" s="1">
        <f>IFERROR(VLOOKUP(A9,Devamsızlıklar!A:K,10,0),0)</f>
        <v>0</v>
      </c>
      <c r="P9" s="40">
        <f>VLOOKUP(O9,Aralıklar!$A$2:$C$5,3,1)*VLOOKUP($O$2,'Kriter Ağırlık'!$A$1:$B$8,2,0)*E9*X9</f>
        <v>10</v>
      </c>
      <c r="Q9" s="1">
        <f>IFERROR(VLOOKUP(A9,Devamsızlıklar!A:K,8,0),0)</f>
        <v>0</v>
      </c>
      <c r="R9" s="33">
        <f>VLOOKUP(Q9,Aralıklar!$E$2:$G$5,3,1)</f>
        <v>1</v>
      </c>
      <c r="S9" s="33">
        <f>IFERROR(VLOOKUP(A9,Devamsızlıklar!A:K,9,0),0)</f>
        <v>0</v>
      </c>
      <c r="T9" s="33">
        <f>VLOOKUP(S9,Aralıklar!$I$2:$K$6,3,1)</f>
        <v>50</v>
      </c>
      <c r="U9" s="33">
        <f>IFERROR(VLOOKUP(A9,Devamsızlıklar!A:K,11,0),0)</f>
        <v>0</v>
      </c>
      <c r="V9" s="33">
        <f>VLOOKUP(U9,Aralıklar!$M$2:$O$6,3,1)</f>
        <v>50</v>
      </c>
      <c r="W9" s="40">
        <f>IF(X9=0,0,(T9+V9)*R9*VLOOKUP($W$2,'Kriter Ağırlık'!$A$1:$B$8,2,1)*E9)</f>
        <v>10</v>
      </c>
      <c r="X9" s="40">
        <f>IFERROR(VLOOKUP(A9,Devamsızlıklar!A:M,13,0),1)</f>
        <v>1</v>
      </c>
      <c r="Y9" s="40">
        <f>(OEE!$K$6*VLOOKUP($Y$2,'Kriter Ağırlık'!$A$1:$B$8,2,1))*X9*E9</f>
        <v>35</v>
      </c>
      <c r="Z9" s="40">
        <f>(TELEF!$I$10*VLOOKUP($Z$2,'Kriter Ağırlık'!$A$1:$B$8,2,1))*X9*E9</f>
        <v>15</v>
      </c>
      <c r="AA9" s="40">
        <f t="shared" si="2"/>
        <v>84.666666666666671</v>
      </c>
      <c r="AB9" s="1">
        <v>4</v>
      </c>
      <c r="AC9" s="33">
        <f>VLOOKUP(AB9,'Kriter Ağırlık'!$A$12:$C$17,3,0)</f>
        <v>13.5</v>
      </c>
      <c r="AD9" s="1">
        <v>1</v>
      </c>
      <c r="AE9" s="33">
        <f>VLOOKUP(AD9,'Kriter Ağırlık'!$E$12:$G$24,3,0)</f>
        <v>1</v>
      </c>
      <c r="AF9" s="92">
        <f t="shared" si="3"/>
        <v>1143</v>
      </c>
      <c r="AG9" t="str">
        <f>VLOOKUP(A9,'Çalışan Listesi'!A:G,6,0)</f>
        <v>TAKIM LİDERİ YARDIMCISI</v>
      </c>
    </row>
    <row r="10" spans="1:35" x14ac:dyDescent="0.2">
      <c r="A10" s="2">
        <v>64</v>
      </c>
      <c r="B10" s="3" t="s">
        <v>13</v>
      </c>
      <c r="C10" s="4">
        <v>34506</v>
      </c>
      <c r="D10" s="5">
        <f t="shared" si="0"/>
        <v>90</v>
      </c>
      <c r="E10" s="6">
        <f t="shared" si="1"/>
        <v>1</v>
      </c>
      <c r="F10" s="25" t="s">
        <v>423</v>
      </c>
      <c r="G10" s="3" t="s">
        <v>5</v>
      </c>
      <c r="H10" s="106" t="str">
        <f>VLOOKUP(A10,'Çalışan Listesi'!A:G,7,0)</f>
        <v>EKİP LİDERİ</v>
      </c>
      <c r="I10" s="65">
        <f>IFERROR(VLOOKUP(A10,'Kaizen Listesi'!A:H,8,0),0)</f>
        <v>0</v>
      </c>
      <c r="J10" s="65">
        <f>I10*VLOOKUP($I$2,'Kriter Ağırlık'!$A$1:$B$8,2,0)</f>
        <v>0</v>
      </c>
      <c r="K10" s="65">
        <f>IFERROR(VLOOKUP(A10,'Hata Kartı '!A:H,8,0),0)</f>
        <v>16.666666666666668</v>
      </c>
      <c r="L10" s="65">
        <f>K10*(VLOOKUP($K$2,'Kriter Ağırlık'!$A$1:$B$8,2,0))</f>
        <v>1.666666666666667</v>
      </c>
      <c r="M10" s="65">
        <f>IFERROR(VLOOKUP(F10,'5S'!$B$8:$E$19,4,0),0)</f>
        <v>1</v>
      </c>
      <c r="N10" s="65">
        <f>VLOOKUP(M10,'5S'!$G$8:$I$14,3,1)*VLOOKUP($M$2,'Kriter Ağırlık'!$A$1:$B$8,2,0)*E10*X10</f>
        <v>7.5555555555555554</v>
      </c>
      <c r="O10" s="1">
        <f>IFERROR(VLOOKUP(A10,Devamsızlıklar!A:K,10,0),0)</f>
        <v>0</v>
      </c>
      <c r="P10" s="40">
        <f>VLOOKUP(O10,Aralıklar!$A$2:$C$5,3,1)*VLOOKUP($O$2,'Kriter Ağırlık'!$A$1:$B$8,2,0)*E10*X10</f>
        <v>9.4444444444444446</v>
      </c>
      <c r="Q10" s="1">
        <f>IFERROR(VLOOKUP(A10,Devamsızlıklar!A:K,8,0),0)</f>
        <v>0</v>
      </c>
      <c r="R10" s="33">
        <f>VLOOKUP(Q10,Aralıklar!$E$2:$G$5,3,1)</f>
        <v>1</v>
      </c>
      <c r="S10" s="33">
        <f>IFERROR(VLOOKUP(A10,Devamsızlıklar!A:K,9,0),0)</f>
        <v>5</v>
      </c>
      <c r="T10" s="33">
        <f>VLOOKUP(S10,Aralıklar!$I$2:$K$6,3,1)</f>
        <v>25</v>
      </c>
      <c r="U10" s="33">
        <f>IFERROR(VLOOKUP(A10,Devamsızlıklar!A:K,11,0),0)</f>
        <v>0</v>
      </c>
      <c r="V10" s="33">
        <f>VLOOKUP(U10,Aralıklar!$M$2:$O$6,3,1)</f>
        <v>50</v>
      </c>
      <c r="W10" s="40">
        <f>IF(X10=0,0,(T10+V10)*R10*VLOOKUP($W$2,'Kriter Ağırlık'!$A$1:$B$8,2,1)*E10)</f>
        <v>7.5</v>
      </c>
      <c r="X10" s="40">
        <f>IFERROR(VLOOKUP(A10,Devamsızlıklar!A:M,13,0),1)</f>
        <v>0.94444444444444442</v>
      </c>
      <c r="Y10" s="40">
        <f>(OEE!$K$6*VLOOKUP($Y$2,'Kriter Ağırlık'!$A$1:$B$8,2,1))*X10*E10</f>
        <v>33.055555555555557</v>
      </c>
      <c r="Z10" s="40">
        <f>(TELEF!$I$10*VLOOKUP($Z$2,'Kriter Ağırlık'!$A$1:$B$8,2,1))*X10*E10</f>
        <v>14.166666666666666</v>
      </c>
      <c r="AA10" s="40">
        <f t="shared" si="2"/>
        <v>73.388888888888886</v>
      </c>
      <c r="AB10" s="1">
        <v>1</v>
      </c>
      <c r="AC10" s="33">
        <f>VLOOKUP(AB10,'Kriter Ağırlık'!$A$12:$C$17,3,0)</f>
        <v>0</v>
      </c>
      <c r="AD10" s="75">
        <v>1</v>
      </c>
      <c r="AE10" s="33">
        <f>VLOOKUP(AD10,'Kriter Ağırlık'!$E$12:$G$24,3,0)</f>
        <v>1</v>
      </c>
      <c r="AF10" s="92">
        <f t="shared" si="3"/>
        <v>0</v>
      </c>
      <c r="AG10" t="str">
        <f>VLOOKUP(A10,'Çalışan Listesi'!A:G,6,0)</f>
        <v>ŞEF LİDER</v>
      </c>
    </row>
    <row r="11" spans="1:35" x14ac:dyDescent="0.2">
      <c r="A11" s="2">
        <v>72</v>
      </c>
      <c r="B11" s="3" t="s">
        <v>14</v>
      </c>
      <c r="C11" s="4">
        <v>36074</v>
      </c>
      <c r="D11" s="5">
        <f t="shared" si="0"/>
        <v>90</v>
      </c>
      <c r="E11" s="6">
        <f t="shared" si="1"/>
        <v>1</v>
      </c>
      <c r="F11" s="25" t="s">
        <v>427</v>
      </c>
      <c r="G11" s="3" t="s">
        <v>15</v>
      </c>
      <c r="H11" s="106" t="str">
        <f>VLOOKUP(A11,'Çalışan Listesi'!A:G,7,0)</f>
        <v>4.KADEME</v>
      </c>
      <c r="I11" s="65">
        <f>IFERROR(VLOOKUP(A11,'Kaizen Listesi'!A:H,8,0),0)</f>
        <v>0</v>
      </c>
      <c r="J11" s="65">
        <f>I11*VLOOKUP($I$2,'Kriter Ağırlık'!$A$1:$B$8,2,0)</f>
        <v>0</v>
      </c>
      <c r="K11" s="65">
        <f>IFERROR(VLOOKUP(A11,'Hata Kartı '!A:H,8,0),0)</f>
        <v>100</v>
      </c>
      <c r="L11" s="65">
        <f>K11*(VLOOKUP($K$2,'Kriter Ağırlık'!$A$1:$B$8,2,0))</f>
        <v>10</v>
      </c>
      <c r="M11" s="65">
        <f>IFERROR(VLOOKUP(F11,'5S'!$B$8:$E$19,4,0),0)</f>
        <v>1</v>
      </c>
      <c r="N11" s="65">
        <f>VLOOKUP(M11,'5S'!$G$8:$I$14,3,1)*VLOOKUP($M$2,'Kriter Ağırlık'!$A$1:$B$8,2,0)*E11*X11</f>
        <v>8</v>
      </c>
      <c r="O11" s="1">
        <f>IFERROR(VLOOKUP(A11,Devamsızlıklar!A:K,10,0),0)</f>
        <v>0</v>
      </c>
      <c r="P11" s="40">
        <f>VLOOKUP(O11,Aralıklar!$A$2:$C$5,3,1)*VLOOKUP($O$2,'Kriter Ağırlık'!$A$1:$B$8,2,0)*E11*X11</f>
        <v>10</v>
      </c>
      <c r="Q11" s="1">
        <f>IFERROR(VLOOKUP(A11,Devamsızlıklar!A:K,8,0),0)</f>
        <v>0</v>
      </c>
      <c r="R11" s="33">
        <f>VLOOKUP(Q11,Aralıklar!$E$2:$G$5,3,1)</f>
        <v>1</v>
      </c>
      <c r="S11" s="33">
        <f>IFERROR(VLOOKUP(A11,Devamsızlıklar!A:K,9,0),0)</f>
        <v>0</v>
      </c>
      <c r="T11" s="33">
        <f>VLOOKUP(S11,Aralıklar!$I$2:$K$6,3,1)</f>
        <v>50</v>
      </c>
      <c r="U11" s="33">
        <f>IFERROR(VLOOKUP(A11,Devamsızlıklar!A:K,11,0),0)</f>
        <v>0</v>
      </c>
      <c r="V11" s="33">
        <f>VLOOKUP(U11,Aralıklar!$M$2:$O$6,3,1)</f>
        <v>50</v>
      </c>
      <c r="W11" s="40">
        <f>IF(X11=0,0,(T11+V11)*R11*VLOOKUP($W$2,'Kriter Ağırlık'!$A$1:$B$8,2,1)*E11)</f>
        <v>10</v>
      </c>
      <c r="X11" s="40">
        <f>IFERROR(VLOOKUP(A11,Devamsızlıklar!A:M,13,0),1)</f>
        <v>1</v>
      </c>
      <c r="Y11" s="40">
        <f>(OEE!$K$6*VLOOKUP($Y$2,'Kriter Ağırlık'!$A$1:$B$8,2,1))*X11*E11</f>
        <v>35</v>
      </c>
      <c r="Z11" s="40">
        <f>(TELEF!$I$10*VLOOKUP($Z$2,'Kriter Ağırlık'!$A$1:$B$8,2,1))*X11*E11</f>
        <v>15</v>
      </c>
      <c r="AA11" s="40">
        <f t="shared" si="2"/>
        <v>88</v>
      </c>
      <c r="AB11" s="1">
        <v>3</v>
      </c>
      <c r="AC11" s="33">
        <f>VLOOKUP(AB11,'Kriter Ağırlık'!$A$12:$C$17,3,0)</f>
        <v>0</v>
      </c>
      <c r="AD11" s="1">
        <v>2</v>
      </c>
      <c r="AE11" s="33">
        <f>VLOOKUP(AD11,'Kriter Ağırlık'!$E$12:$G$24,3,0)</f>
        <v>1.232</v>
      </c>
      <c r="AF11" s="92">
        <f t="shared" si="3"/>
        <v>0</v>
      </c>
      <c r="AG11" t="str">
        <f>VLOOKUP(A11,'Çalışan Listesi'!A:G,6,0)</f>
        <v>TAKIM LİDERİ</v>
      </c>
    </row>
    <row r="12" spans="1:35" x14ac:dyDescent="0.2">
      <c r="A12" s="2">
        <v>73</v>
      </c>
      <c r="B12" s="3" t="s">
        <v>16</v>
      </c>
      <c r="C12" s="4">
        <v>34745</v>
      </c>
      <c r="D12" s="5">
        <f t="shared" si="0"/>
        <v>90</v>
      </c>
      <c r="E12" s="6">
        <f t="shared" si="1"/>
        <v>1</v>
      </c>
      <c r="F12" s="25" t="s">
        <v>421</v>
      </c>
      <c r="G12" s="3" t="s">
        <v>10</v>
      </c>
      <c r="H12" s="106" t="str">
        <f>VLOOKUP(A12,'Çalışan Listesi'!A:G,7,0)</f>
        <v>3.KADEME</v>
      </c>
      <c r="I12" s="65">
        <f>IFERROR(VLOOKUP(A12,'Kaizen Listesi'!A:H,8,0),0)</f>
        <v>0</v>
      </c>
      <c r="J12" s="65">
        <f>I12*VLOOKUP($I$2,'Kriter Ağırlık'!$A$1:$B$8,2,0)</f>
        <v>0</v>
      </c>
      <c r="K12" s="65">
        <f>IFERROR(VLOOKUP(A12,'Hata Kartı '!A:H,8,0),0)</f>
        <v>0</v>
      </c>
      <c r="L12" s="65">
        <f>K12*(VLOOKUP($K$2,'Kriter Ağırlık'!$A$1:$B$8,2,0))</f>
        <v>0</v>
      </c>
      <c r="M12" s="65">
        <f>IFERROR(VLOOKUP(F12,'5S'!$B$8:$E$19,4,0),0)</f>
        <v>1</v>
      </c>
      <c r="N12" s="65">
        <f>VLOOKUP(M12,'5S'!$G$8:$I$14,3,1)*VLOOKUP($M$2,'Kriter Ağırlık'!$A$1:$B$8,2,0)*E12*X12</f>
        <v>7.4666666666666668</v>
      </c>
      <c r="O12" s="1">
        <f>IFERROR(VLOOKUP(A12,Devamsızlıklar!A:K,10,0),0)</f>
        <v>0</v>
      </c>
      <c r="P12" s="40">
        <f>VLOOKUP(O12,Aralıklar!$A$2:$C$5,3,1)*VLOOKUP($O$2,'Kriter Ağırlık'!$A$1:$B$8,2,0)*E12*X12</f>
        <v>9.3333333333333339</v>
      </c>
      <c r="Q12" s="1">
        <f>IFERROR(VLOOKUP(A12,Devamsızlıklar!A:K,8,0),0)</f>
        <v>0</v>
      </c>
      <c r="R12" s="33">
        <f>VLOOKUP(Q12,Aralıklar!$E$2:$G$5,3,1)</f>
        <v>1</v>
      </c>
      <c r="S12" s="33">
        <f>IFERROR(VLOOKUP(A12,Devamsızlıklar!A:K,9,0),0)</f>
        <v>0</v>
      </c>
      <c r="T12" s="33">
        <f>VLOOKUP(S12,Aralıklar!$I$2:$K$6,3,1)</f>
        <v>50</v>
      </c>
      <c r="U12" s="33">
        <f>IFERROR(VLOOKUP(A12,Devamsızlıklar!A:K,11,0),0)</f>
        <v>0</v>
      </c>
      <c r="V12" s="33">
        <f>VLOOKUP(U12,Aralıklar!$M$2:$O$6,3,1)</f>
        <v>50</v>
      </c>
      <c r="W12" s="40">
        <f>IF(X12=0,0,(T12+V12)*R12*VLOOKUP($W$2,'Kriter Ağırlık'!$A$1:$B$8,2,1)*E12)</f>
        <v>10</v>
      </c>
      <c r="X12" s="40">
        <f>IFERROR(VLOOKUP(A12,Devamsızlıklar!A:M,13,0),1)</f>
        <v>0.93333333333333335</v>
      </c>
      <c r="Y12" s="40">
        <f>(OEE!$K$6*VLOOKUP($Y$2,'Kriter Ağırlık'!$A$1:$B$8,2,1))*X12*E12</f>
        <v>32.666666666666664</v>
      </c>
      <c r="Z12" s="40">
        <f>(TELEF!$I$10*VLOOKUP($Z$2,'Kriter Ağırlık'!$A$1:$B$8,2,1))*X12*E12</f>
        <v>14</v>
      </c>
      <c r="AA12" s="40">
        <f t="shared" si="2"/>
        <v>73.466666666666669</v>
      </c>
      <c r="AB12" s="1">
        <v>5</v>
      </c>
      <c r="AC12" s="33">
        <f>VLOOKUP(AB12,'Kriter Ağırlık'!$A$12:$C$17,3,0)</f>
        <v>18.5</v>
      </c>
      <c r="AD12" s="1">
        <v>3</v>
      </c>
      <c r="AE12" s="33">
        <f>VLOOKUP(AD12,'Kriter Ağırlık'!$E$12:$G$24,3,0)</f>
        <v>1.1499999999999999</v>
      </c>
      <c r="AF12" s="92">
        <f t="shared" si="3"/>
        <v>1563.0033333333333</v>
      </c>
      <c r="AG12" t="str">
        <f>VLOOKUP(A12,'Çalışan Listesi'!A:G,6,0)</f>
        <v>OPERATÖR</v>
      </c>
    </row>
    <row r="13" spans="1:35" x14ac:dyDescent="0.2">
      <c r="A13" s="2">
        <v>74</v>
      </c>
      <c r="B13" s="3" t="s">
        <v>17</v>
      </c>
      <c r="C13" s="4">
        <v>34771</v>
      </c>
      <c r="D13" s="5">
        <f t="shared" si="0"/>
        <v>90</v>
      </c>
      <c r="E13" s="6">
        <f t="shared" si="1"/>
        <v>1</v>
      </c>
      <c r="F13" s="25" t="s">
        <v>425</v>
      </c>
      <c r="G13" s="3" t="s">
        <v>5</v>
      </c>
      <c r="H13" s="106" t="str">
        <f>VLOOKUP(A13,'Çalışan Listesi'!A:G,7,0)</f>
        <v>EKİP LİDERİ</v>
      </c>
      <c r="I13" s="65">
        <f>IFERROR(VLOOKUP(A13,'Kaizen Listesi'!A:H,8,0),0)</f>
        <v>0</v>
      </c>
      <c r="J13" s="65">
        <f>I13*VLOOKUP($I$2,'Kriter Ağırlık'!$A$1:$B$8,2,0)</f>
        <v>0</v>
      </c>
      <c r="K13" s="65">
        <f>IFERROR(VLOOKUP(A13,'Hata Kartı '!A:H,8,0),0)</f>
        <v>0</v>
      </c>
      <c r="L13" s="65">
        <f>K13*(VLOOKUP($K$2,'Kriter Ağırlık'!$A$1:$B$8,2,0))</f>
        <v>0</v>
      </c>
      <c r="M13" s="65">
        <f>IFERROR(VLOOKUP(F13,'5S'!$B$8:$E$19,4,0),0)</f>
        <v>1</v>
      </c>
      <c r="N13" s="65">
        <f>VLOOKUP(M13,'5S'!$G$8:$I$14,3,1)*VLOOKUP($M$2,'Kriter Ağırlık'!$A$1:$B$8,2,0)*E13*X13</f>
        <v>8</v>
      </c>
      <c r="O13" s="1">
        <f>IFERROR(VLOOKUP(A13,Devamsızlıklar!A:K,10,0),0)</f>
        <v>0</v>
      </c>
      <c r="P13" s="40">
        <f>VLOOKUP(O13,Aralıklar!$A$2:$C$5,3,1)*VLOOKUP($O$2,'Kriter Ağırlık'!$A$1:$B$8,2,0)*E13*X13</f>
        <v>10</v>
      </c>
      <c r="Q13" s="1">
        <f>IFERROR(VLOOKUP(A13,Devamsızlıklar!A:K,8,0),0)</f>
        <v>0</v>
      </c>
      <c r="R13" s="33">
        <f>VLOOKUP(Q13,Aralıklar!$E$2:$G$5,3,1)</f>
        <v>1</v>
      </c>
      <c r="S13" s="33">
        <f>IFERROR(VLOOKUP(A13,Devamsızlıklar!A:K,9,0),0)</f>
        <v>0</v>
      </c>
      <c r="T13" s="33">
        <f>VLOOKUP(S13,Aralıklar!$I$2:$K$6,3,1)</f>
        <v>50</v>
      </c>
      <c r="U13" s="33">
        <f>IFERROR(VLOOKUP(A13,Devamsızlıklar!A:K,11,0),0)</f>
        <v>0</v>
      </c>
      <c r="V13" s="33">
        <f>VLOOKUP(U13,Aralıklar!$M$2:$O$6,3,1)</f>
        <v>50</v>
      </c>
      <c r="W13" s="40">
        <f>IF(X13=0,0,(T13+V13)*R13*VLOOKUP($W$2,'Kriter Ağırlık'!$A$1:$B$8,2,1)*E13)</f>
        <v>10</v>
      </c>
      <c r="X13" s="40">
        <f>IFERROR(VLOOKUP(A13,Devamsızlıklar!A:M,13,0),1)</f>
        <v>1</v>
      </c>
      <c r="Y13" s="40">
        <f>(OEE!$K$6*VLOOKUP($Y$2,'Kriter Ağırlık'!$A$1:$B$8,2,1))*X13*E13</f>
        <v>35</v>
      </c>
      <c r="Z13" s="40">
        <f>(TELEF!$I$10*VLOOKUP($Z$2,'Kriter Ağırlık'!$A$1:$B$8,2,1))*X13*E13</f>
        <v>15</v>
      </c>
      <c r="AA13" s="40">
        <f t="shared" si="2"/>
        <v>78</v>
      </c>
      <c r="AB13" s="1">
        <v>1</v>
      </c>
      <c r="AC13" s="33">
        <f>VLOOKUP(AB13,'Kriter Ağırlık'!$A$12:$C$17,3,0)</f>
        <v>0</v>
      </c>
      <c r="AD13" s="75">
        <v>1</v>
      </c>
      <c r="AE13" s="33">
        <f>VLOOKUP(AD13,'Kriter Ağırlık'!$E$12:$G$24,3,0)</f>
        <v>1</v>
      </c>
      <c r="AF13" s="92">
        <f t="shared" si="3"/>
        <v>0</v>
      </c>
      <c r="AG13" t="str">
        <f>VLOOKUP(A13,'Çalışan Listesi'!A:G,6,0)</f>
        <v>ŞEF LİDER</v>
      </c>
    </row>
    <row r="14" spans="1:35" x14ac:dyDescent="0.2">
      <c r="A14" s="2">
        <v>79</v>
      </c>
      <c r="B14" s="3" t="s">
        <v>18</v>
      </c>
      <c r="C14" s="4">
        <v>34916</v>
      </c>
      <c r="D14" s="5">
        <f t="shared" si="0"/>
        <v>90</v>
      </c>
      <c r="E14" s="6">
        <f t="shared" si="1"/>
        <v>1</v>
      </c>
      <c r="F14" s="25" t="s">
        <v>422</v>
      </c>
      <c r="G14" s="3" t="s">
        <v>1</v>
      </c>
      <c r="H14" s="106" t="str">
        <f>VLOOKUP(A14,'Çalışan Listesi'!A:G,7,0)</f>
        <v>SÜPERVİZÖR</v>
      </c>
      <c r="I14" s="65">
        <f>IFERROR(VLOOKUP(A14,'Kaizen Listesi'!A:H,8,0),0)</f>
        <v>0</v>
      </c>
      <c r="J14" s="65">
        <f>I14*VLOOKUP($I$2,'Kriter Ağırlık'!$A$1:$B$8,2,0)</f>
        <v>0</v>
      </c>
      <c r="K14" s="65">
        <f>IFERROR(VLOOKUP(A14,'Hata Kartı '!A:H,8,0),0)</f>
        <v>0</v>
      </c>
      <c r="L14" s="65">
        <f>K14*(VLOOKUP($K$2,'Kriter Ağırlık'!$A$1:$B$8,2,0))</f>
        <v>0</v>
      </c>
      <c r="M14" s="65">
        <f>IFERROR(VLOOKUP(F14,'5S'!$B$8:$E$19,4,0),0)</f>
        <v>1</v>
      </c>
      <c r="N14" s="65">
        <f>VLOOKUP(M14,'5S'!$G$8:$I$14,3,1)*VLOOKUP($M$2,'Kriter Ağırlık'!$A$1:$B$8,2,0)*E14*X14</f>
        <v>8</v>
      </c>
      <c r="O14" s="1">
        <f>IFERROR(VLOOKUP(A14,Devamsızlıklar!A:K,10,0),0)</f>
        <v>0</v>
      </c>
      <c r="P14" s="40">
        <f>VLOOKUP(O14,Aralıklar!$A$2:$C$5,3,1)*VLOOKUP($O$2,'Kriter Ağırlık'!$A$1:$B$8,2,0)*E14*X14</f>
        <v>10</v>
      </c>
      <c r="Q14" s="1">
        <f>IFERROR(VLOOKUP(A14,Devamsızlıklar!A:K,8,0),0)</f>
        <v>0</v>
      </c>
      <c r="R14" s="33">
        <f>VLOOKUP(Q14,Aralıklar!$E$2:$G$5,3,1)</f>
        <v>1</v>
      </c>
      <c r="S14" s="33">
        <f>IFERROR(VLOOKUP(A14,Devamsızlıklar!A:K,9,0),0)</f>
        <v>0</v>
      </c>
      <c r="T14" s="33">
        <f>VLOOKUP(S14,Aralıklar!$I$2:$K$6,3,1)</f>
        <v>50</v>
      </c>
      <c r="U14" s="33">
        <f>IFERROR(VLOOKUP(A14,Devamsızlıklar!A:K,11,0),0)</f>
        <v>0</v>
      </c>
      <c r="V14" s="33">
        <f>VLOOKUP(U14,Aralıklar!$M$2:$O$6,3,1)</f>
        <v>50</v>
      </c>
      <c r="W14" s="40">
        <f>IF(X14=0,0,(T14+V14)*R14*VLOOKUP($W$2,'Kriter Ağırlık'!$A$1:$B$8,2,1)*E14)</f>
        <v>10</v>
      </c>
      <c r="X14" s="40">
        <f>IFERROR(VLOOKUP(A14,Devamsızlıklar!A:M,13,0),1)</f>
        <v>1</v>
      </c>
      <c r="Y14" s="40">
        <f>(OEE!$K$6*VLOOKUP($Y$2,'Kriter Ağırlık'!$A$1:$B$8,2,1))*X14*E14</f>
        <v>35</v>
      </c>
      <c r="Z14" s="40">
        <f>(TELEF!$I$10*VLOOKUP($Z$2,'Kriter Ağırlık'!$A$1:$B$8,2,1))*X14*E14</f>
        <v>15</v>
      </c>
      <c r="AA14" s="40">
        <f t="shared" si="2"/>
        <v>78</v>
      </c>
      <c r="AB14" s="1">
        <v>2</v>
      </c>
      <c r="AC14" s="33">
        <f>VLOOKUP(AB14,'Kriter Ağırlık'!$A$12:$C$17,3,0)</f>
        <v>0</v>
      </c>
      <c r="AD14" s="75">
        <v>1</v>
      </c>
      <c r="AE14" s="33">
        <f>VLOOKUP(AD14,'Kriter Ağırlık'!$E$12:$G$24,3,0)</f>
        <v>1</v>
      </c>
      <c r="AF14" s="92">
        <f t="shared" si="3"/>
        <v>0</v>
      </c>
      <c r="AG14" t="str">
        <f>VLOOKUP(A14,'Çalışan Listesi'!A:G,6,0)</f>
        <v>GRUP LİDERİ</v>
      </c>
    </row>
    <row r="15" spans="1:35" x14ac:dyDescent="0.2">
      <c r="A15" s="2">
        <v>81</v>
      </c>
      <c r="B15" s="3" t="s">
        <v>19</v>
      </c>
      <c r="C15" s="4">
        <v>36726</v>
      </c>
      <c r="D15" s="5">
        <f t="shared" si="0"/>
        <v>90</v>
      </c>
      <c r="E15" s="6">
        <f t="shared" si="1"/>
        <v>1</v>
      </c>
      <c r="F15" s="25" t="s">
        <v>432</v>
      </c>
      <c r="G15" s="3" t="s">
        <v>20</v>
      </c>
      <c r="H15" s="106" t="str">
        <f>VLOOKUP(A15,'Çalışan Listesi'!A:G,7,0)</f>
        <v>4.KADEME</v>
      </c>
      <c r="I15" s="65">
        <f>IFERROR(VLOOKUP(A15,'Kaizen Listesi'!A:H,8,0),0)</f>
        <v>33.333333333333336</v>
      </c>
      <c r="J15" s="65">
        <f>I15*VLOOKUP($I$2,'Kriter Ağırlık'!$A$1:$B$8,2,0)</f>
        <v>4</v>
      </c>
      <c r="K15" s="65">
        <f>IFERROR(VLOOKUP(A15,'Hata Kartı '!A:H,8,0),0)</f>
        <v>33.333333333333336</v>
      </c>
      <c r="L15" s="65">
        <f>K15*(VLOOKUP($K$2,'Kriter Ağırlık'!$A$1:$B$8,2,0))</f>
        <v>3.3333333333333339</v>
      </c>
      <c r="M15" s="65">
        <f>IFERROR(VLOOKUP(F15,'5S'!$B$8:$E$19,4,0),0)</f>
        <v>1</v>
      </c>
      <c r="N15" s="65">
        <f>VLOOKUP(M15,'5S'!$G$8:$I$14,3,1)*VLOOKUP($M$2,'Kriter Ağırlık'!$A$1:$B$8,2,0)*E15*X15</f>
        <v>8</v>
      </c>
      <c r="O15" s="1">
        <f>IFERROR(VLOOKUP(A15,Devamsızlıklar!A:K,10,0),0)</f>
        <v>0</v>
      </c>
      <c r="P15" s="40">
        <f>VLOOKUP(O15,Aralıklar!$A$2:$C$5,3,1)*VLOOKUP($O$2,'Kriter Ağırlık'!$A$1:$B$8,2,0)*E15*X15</f>
        <v>10</v>
      </c>
      <c r="Q15" s="1">
        <f>IFERROR(VLOOKUP(A15,Devamsızlıklar!A:K,8,0),0)</f>
        <v>0</v>
      </c>
      <c r="R15" s="33">
        <f>VLOOKUP(Q15,Aralıklar!$E$2:$G$5,3,1)</f>
        <v>1</v>
      </c>
      <c r="S15" s="33">
        <f>IFERROR(VLOOKUP(A15,Devamsızlıklar!A:K,9,0),0)</f>
        <v>0</v>
      </c>
      <c r="T15" s="33">
        <f>VLOOKUP(S15,Aralıklar!$I$2:$K$6,3,1)</f>
        <v>50</v>
      </c>
      <c r="U15" s="33">
        <f>IFERROR(VLOOKUP(A15,Devamsızlıklar!A:K,11,0),0)</f>
        <v>0</v>
      </c>
      <c r="V15" s="33">
        <f>VLOOKUP(U15,Aralıklar!$M$2:$O$6,3,1)</f>
        <v>50</v>
      </c>
      <c r="W15" s="40">
        <f>IF(X15=0,0,(T15+V15)*R15*VLOOKUP($W$2,'Kriter Ağırlık'!$A$1:$B$8,2,1)*E15)</f>
        <v>10</v>
      </c>
      <c r="X15" s="40">
        <f>IFERROR(VLOOKUP(A15,Devamsızlıklar!A:M,13,0),1)</f>
        <v>1</v>
      </c>
      <c r="Y15" s="40">
        <f>(OEE!$K$6*VLOOKUP($Y$2,'Kriter Ağırlık'!$A$1:$B$8,2,1))*X15*E15</f>
        <v>35</v>
      </c>
      <c r="Z15" s="40">
        <f>(TELEF!$I$10*VLOOKUP($Z$2,'Kriter Ağırlık'!$A$1:$B$8,2,1))*X15*E15</f>
        <v>15</v>
      </c>
      <c r="AA15" s="40">
        <f t="shared" si="2"/>
        <v>85.333333333333343</v>
      </c>
      <c r="AB15" s="1">
        <v>3</v>
      </c>
      <c r="AC15" s="33">
        <f>VLOOKUP(AB15,'Kriter Ağırlık'!$A$12:$C$17,3,0)</f>
        <v>0</v>
      </c>
      <c r="AD15" s="1">
        <v>2</v>
      </c>
      <c r="AE15" s="33">
        <f>VLOOKUP(AD15,'Kriter Ağırlık'!$E$12:$G$24,3,0)</f>
        <v>1.232</v>
      </c>
      <c r="AF15" s="92">
        <f t="shared" si="3"/>
        <v>0</v>
      </c>
      <c r="AG15" t="str">
        <f>VLOOKUP(A15,'Çalışan Listesi'!A:G,6,0)</f>
        <v>TAKIM LİDERİ</v>
      </c>
    </row>
    <row r="16" spans="1:35" x14ac:dyDescent="0.2">
      <c r="A16" s="2">
        <v>86</v>
      </c>
      <c r="B16" s="3" t="s">
        <v>21</v>
      </c>
      <c r="C16" s="4">
        <v>36458</v>
      </c>
      <c r="D16" s="5">
        <f t="shared" si="0"/>
        <v>90</v>
      </c>
      <c r="E16" s="6">
        <f t="shared" si="1"/>
        <v>1</v>
      </c>
      <c r="F16" s="25" t="s">
        <v>429</v>
      </c>
      <c r="G16" s="3" t="s">
        <v>22</v>
      </c>
      <c r="H16" s="106" t="str">
        <f>VLOOKUP(A16,'Çalışan Listesi'!A:G,7,0)</f>
        <v>4.KADEME</v>
      </c>
      <c r="I16" s="65">
        <f>IFERROR(VLOOKUP(A16,'Kaizen Listesi'!A:H,8,0),0)</f>
        <v>0</v>
      </c>
      <c r="J16" s="65">
        <f>I16*VLOOKUP($I$2,'Kriter Ağırlık'!$A$1:$B$8,2,0)</f>
        <v>0</v>
      </c>
      <c r="K16" s="65">
        <f>IFERROR(VLOOKUP(A16,'Hata Kartı '!A:H,8,0),0)</f>
        <v>16.666666666666668</v>
      </c>
      <c r="L16" s="65">
        <f>K16*(VLOOKUP($K$2,'Kriter Ağırlık'!$A$1:$B$8,2,0))</f>
        <v>1.666666666666667</v>
      </c>
      <c r="M16" s="65">
        <f>IFERROR(VLOOKUP(F16,'5S'!$B$8:$E$19,4,0),0)</f>
        <v>1</v>
      </c>
      <c r="N16" s="65">
        <f>VLOOKUP(M16,'5S'!$G$8:$I$14,3,1)*VLOOKUP($M$2,'Kriter Ağırlık'!$A$1:$B$8,2,0)*E16*X16</f>
        <v>8</v>
      </c>
      <c r="O16" s="1">
        <f>IFERROR(VLOOKUP(A16,Devamsızlıklar!A:K,10,0),0)</f>
        <v>0</v>
      </c>
      <c r="P16" s="40">
        <f>VLOOKUP(O16,Aralıklar!$A$2:$C$5,3,1)*VLOOKUP($O$2,'Kriter Ağırlık'!$A$1:$B$8,2,0)*E16*X16</f>
        <v>10</v>
      </c>
      <c r="Q16" s="1">
        <f>IFERROR(VLOOKUP(A16,Devamsızlıklar!A:K,8,0),0)</f>
        <v>0</v>
      </c>
      <c r="R16" s="33">
        <f>VLOOKUP(Q16,Aralıklar!$E$2:$G$5,3,1)</f>
        <v>1</v>
      </c>
      <c r="S16" s="33">
        <f>IFERROR(VLOOKUP(A16,Devamsızlıklar!A:K,9,0),0)</f>
        <v>0</v>
      </c>
      <c r="T16" s="33">
        <f>VLOOKUP(S16,Aralıklar!$I$2:$K$6,3,1)</f>
        <v>50</v>
      </c>
      <c r="U16" s="33">
        <f>IFERROR(VLOOKUP(A16,Devamsızlıklar!A:K,11,0),0)</f>
        <v>0</v>
      </c>
      <c r="V16" s="33">
        <f>VLOOKUP(U16,Aralıklar!$M$2:$O$6,3,1)</f>
        <v>50</v>
      </c>
      <c r="W16" s="40">
        <f>IF(X16=0,0,(T16+V16)*R16*VLOOKUP($W$2,'Kriter Ağırlık'!$A$1:$B$8,2,1)*E16)</f>
        <v>10</v>
      </c>
      <c r="X16" s="40">
        <f>IFERROR(VLOOKUP(A16,Devamsızlıklar!A:M,13,0),1)</f>
        <v>1</v>
      </c>
      <c r="Y16" s="40">
        <f>(OEE!$K$6*VLOOKUP($Y$2,'Kriter Ağırlık'!$A$1:$B$8,2,1))*X16*E16</f>
        <v>35</v>
      </c>
      <c r="Z16" s="40">
        <f>(TELEF!$I$10*VLOOKUP($Z$2,'Kriter Ağırlık'!$A$1:$B$8,2,1))*X16*E16</f>
        <v>15</v>
      </c>
      <c r="AA16" s="40">
        <f t="shared" si="2"/>
        <v>79.666666666666671</v>
      </c>
      <c r="AB16" s="1">
        <v>4</v>
      </c>
      <c r="AC16" s="33">
        <f>VLOOKUP(AB16,'Kriter Ağırlık'!$A$12:$C$17,3,0)</f>
        <v>13.5</v>
      </c>
      <c r="AD16" s="1">
        <v>1</v>
      </c>
      <c r="AE16" s="33">
        <f>VLOOKUP(AD16,'Kriter Ağırlık'!$E$12:$G$24,3,0)</f>
        <v>1</v>
      </c>
      <c r="AF16" s="92">
        <f t="shared" si="3"/>
        <v>1075.5</v>
      </c>
      <c r="AG16" t="str">
        <f>VLOOKUP(A16,'Çalışan Listesi'!A:G,6,0)</f>
        <v>TAKIM LİDERİ YARDIMCISI</v>
      </c>
    </row>
    <row r="17" spans="1:33" x14ac:dyDescent="0.2">
      <c r="A17" s="2">
        <v>88</v>
      </c>
      <c r="B17" s="3" t="s">
        <v>23</v>
      </c>
      <c r="C17" s="4">
        <v>36565</v>
      </c>
      <c r="D17" s="5">
        <f t="shared" si="0"/>
        <v>90</v>
      </c>
      <c r="E17" s="6">
        <f t="shared" si="1"/>
        <v>1</v>
      </c>
      <c r="F17" s="25" t="s">
        <v>425</v>
      </c>
      <c r="G17" s="3" t="s">
        <v>24</v>
      </c>
      <c r="H17" s="106" t="str">
        <f>VLOOKUP(A17,'Çalışan Listesi'!A:G,7,0)</f>
        <v>3.KADEME</v>
      </c>
      <c r="I17" s="65">
        <f>IFERROR(VLOOKUP(A17,'Kaizen Listesi'!A:H,8,0),0)</f>
        <v>0</v>
      </c>
      <c r="J17" s="65">
        <f>I17*VLOOKUP($I$2,'Kriter Ağırlık'!$A$1:$B$8,2,0)</f>
        <v>0</v>
      </c>
      <c r="K17" s="65">
        <f>IFERROR(VLOOKUP(A17,'Hata Kartı '!A:H,8,0),0)</f>
        <v>0</v>
      </c>
      <c r="L17" s="65">
        <f>K17*(VLOOKUP($K$2,'Kriter Ağırlık'!$A$1:$B$8,2,0))</f>
        <v>0</v>
      </c>
      <c r="M17" s="65">
        <f>IFERROR(VLOOKUP(F17,'5S'!$B$8:$E$19,4,0),0)</f>
        <v>1</v>
      </c>
      <c r="N17" s="65">
        <f>VLOOKUP(M17,'5S'!$G$8:$I$14,3,1)*VLOOKUP($M$2,'Kriter Ağırlık'!$A$1:$B$8,2,0)*E17*X17</f>
        <v>7.3777777777777782</v>
      </c>
      <c r="O17" s="1">
        <f>IFERROR(VLOOKUP(A17,Devamsızlıklar!A:K,10,0),0)</f>
        <v>0</v>
      </c>
      <c r="P17" s="40">
        <f>VLOOKUP(O17,Aralıklar!$A$2:$C$5,3,1)*VLOOKUP($O$2,'Kriter Ağırlık'!$A$1:$B$8,2,0)*E17*X17</f>
        <v>9.2222222222222232</v>
      </c>
      <c r="Q17" s="1">
        <f>IFERROR(VLOOKUP(A17,Devamsızlıklar!A:K,8,0),0)</f>
        <v>0</v>
      </c>
      <c r="R17" s="33">
        <f>VLOOKUP(Q17,Aralıklar!$E$2:$G$5,3,1)</f>
        <v>1</v>
      </c>
      <c r="S17" s="33">
        <f>IFERROR(VLOOKUP(A17,Devamsızlıklar!A:K,9,0),0)</f>
        <v>0</v>
      </c>
      <c r="T17" s="33">
        <f>VLOOKUP(S17,Aralıklar!$I$2:$K$6,3,1)</f>
        <v>50</v>
      </c>
      <c r="U17" s="33">
        <f>IFERROR(VLOOKUP(A17,Devamsızlıklar!A:K,11,0),0)</f>
        <v>0</v>
      </c>
      <c r="V17" s="33">
        <f>VLOOKUP(U17,Aralıklar!$M$2:$O$6,3,1)</f>
        <v>50</v>
      </c>
      <c r="W17" s="40">
        <f>IF(X17=0,0,(T17+V17)*R17*VLOOKUP($W$2,'Kriter Ağırlık'!$A$1:$B$8,2,1)*E17)</f>
        <v>10</v>
      </c>
      <c r="X17" s="40">
        <f>IFERROR(VLOOKUP(A17,Devamsızlıklar!A:M,13,0),1)</f>
        <v>0.92222222222222228</v>
      </c>
      <c r="Y17" s="40">
        <f>(OEE!$K$6*VLOOKUP($Y$2,'Kriter Ağırlık'!$A$1:$B$8,2,1))*X17*E17</f>
        <v>32.277777777777779</v>
      </c>
      <c r="Z17" s="40">
        <f>(TELEF!$I$10*VLOOKUP($Z$2,'Kriter Ağırlık'!$A$1:$B$8,2,1))*X17*E17</f>
        <v>13.833333333333334</v>
      </c>
      <c r="AA17" s="40">
        <f t="shared" si="2"/>
        <v>72.711111111111109</v>
      </c>
      <c r="AB17" s="1">
        <v>5</v>
      </c>
      <c r="AC17" s="33">
        <f>VLOOKUP(AB17,'Kriter Ağırlık'!$A$12:$C$17,3,0)</f>
        <v>18.5</v>
      </c>
      <c r="AD17" s="1">
        <v>10</v>
      </c>
      <c r="AE17" s="33">
        <f>VLOOKUP(AD17,'Kriter Ağırlık'!$E$12:$G$24,3,0)</f>
        <v>1.3779999999999999</v>
      </c>
      <c r="AF17" s="92">
        <f t="shared" si="3"/>
        <v>1853.6243555555554</v>
      </c>
      <c r="AG17" t="str">
        <f>VLOOKUP(A17,'Çalışan Listesi'!A:G,6,0)</f>
        <v>TEKNİSYEN</v>
      </c>
    </row>
    <row r="18" spans="1:33" x14ac:dyDescent="0.2">
      <c r="A18" s="2">
        <v>96</v>
      </c>
      <c r="B18" s="3" t="s">
        <v>25</v>
      </c>
      <c r="C18" s="4">
        <v>35314</v>
      </c>
      <c r="D18" s="5">
        <f t="shared" si="0"/>
        <v>90</v>
      </c>
      <c r="E18" s="6">
        <f t="shared" si="1"/>
        <v>1</v>
      </c>
      <c r="F18" s="25" t="s">
        <v>429</v>
      </c>
      <c r="G18" s="3" t="s">
        <v>26</v>
      </c>
      <c r="H18" s="106" t="str">
        <f>VLOOKUP(A18,'Çalışan Listesi'!A:G,7,0)</f>
        <v>4.KADEME</v>
      </c>
      <c r="I18" s="65">
        <f>IFERROR(VLOOKUP(A18,'Kaizen Listesi'!A:H,8,0),0)</f>
        <v>0</v>
      </c>
      <c r="J18" s="65">
        <f>I18*VLOOKUP($I$2,'Kriter Ağırlık'!$A$1:$B$8,2,0)</f>
        <v>0</v>
      </c>
      <c r="K18" s="65">
        <f>IFERROR(VLOOKUP(A18,'Hata Kartı '!A:H,8,0),0)</f>
        <v>16.666666666666668</v>
      </c>
      <c r="L18" s="65">
        <f>K18*(VLOOKUP($K$2,'Kriter Ağırlık'!$A$1:$B$8,2,0))</f>
        <v>1.666666666666667</v>
      </c>
      <c r="M18" s="65">
        <f>IFERROR(VLOOKUP(F18,'5S'!$B$8:$E$19,4,0),0)</f>
        <v>1</v>
      </c>
      <c r="N18" s="65">
        <f>VLOOKUP(M18,'5S'!$G$8:$I$14,3,1)*VLOOKUP($M$2,'Kriter Ağırlık'!$A$1:$B$8,2,0)*E18*X18</f>
        <v>8</v>
      </c>
      <c r="O18" s="1">
        <f>IFERROR(VLOOKUP(A18,Devamsızlıklar!A:K,10,0),0)</f>
        <v>0</v>
      </c>
      <c r="P18" s="40">
        <f>VLOOKUP(O18,Aralıklar!$A$2:$C$5,3,1)*VLOOKUP($O$2,'Kriter Ağırlık'!$A$1:$B$8,2,0)*E18*X18</f>
        <v>10</v>
      </c>
      <c r="Q18" s="1">
        <f>IFERROR(VLOOKUP(A18,Devamsızlıklar!A:K,8,0),0)</f>
        <v>0</v>
      </c>
      <c r="R18" s="33">
        <f>VLOOKUP(Q18,Aralıklar!$E$2:$G$5,3,1)</f>
        <v>1</v>
      </c>
      <c r="S18" s="33">
        <f>IFERROR(VLOOKUP(A18,Devamsızlıklar!A:K,9,0),0)</f>
        <v>0</v>
      </c>
      <c r="T18" s="33">
        <f>VLOOKUP(S18,Aralıklar!$I$2:$K$6,3,1)</f>
        <v>50</v>
      </c>
      <c r="U18" s="33">
        <f>IFERROR(VLOOKUP(A18,Devamsızlıklar!A:K,11,0),0)</f>
        <v>0</v>
      </c>
      <c r="V18" s="33">
        <f>VLOOKUP(U18,Aralıklar!$M$2:$O$6,3,1)</f>
        <v>50</v>
      </c>
      <c r="W18" s="40">
        <f>IF(X18=0,0,(T18+V18)*R18*VLOOKUP($W$2,'Kriter Ağırlık'!$A$1:$B$8,2,1)*E18)</f>
        <v>10</v>
      </c>
      <c r="X18" s="40">
        <f>IFERROR(VLOOKUP(A18,Devamsızlıklar!A:M,13,0),1)</f>
        <v>1</v>
      </c>
      <c r="Y18" s="40">
        <f>(OEE!$K$6*VLOOKUP($Y$2,'Kriter Ağırlık'!$A$1:$B$8,2,1))*X18*E18</f>
        <v>35</v>
      </c>
      <c r="Z18" s="40">
        <f>(TELEF!$I$10*VLOOKUP($Z$2,'Kriter Ağırlık'!$A$1:$B$8,2,1))*X18*E18</f>
        <v>15</v>
      </c>
      <c r="AA18" s="40">
        <f t="shared" si="2"/>
        <v>79.666666666666671</v>
      </c>
      <c r="AB18" s="1">
        <v>3</v>
      </c>
      <c r="AC18" s="33">
        <f>VLOOKUP(AB18,'Kriter Ağırlık'!$A$12:$C$17,3,0)</f>
        <v>0</v>
      </c>
      <c r="AD18" s="1">
        <v>2</v>
      </c>
      <c r="AE18" s="33">
        <f>VLOOKUP(AD18,'Kriter Ağırlık'!$E$12:$G$24,3,0)</f>
        <v>1.232</v>
      </c>
      <c r="AF18" s="92">
        <f t="shared" si="3"/>
        <v>0</v>
      </c>
      <c r="AG18" t="str">
        <f>VLOOKUP(A18,'Çalışan Listesi'!A:G,6,0)</f>
        <v>TAKIM LİDERİ</v>
      </c>
    </row>
    <row r="19" spans="1:33" x14ac:dyDescent="0.2">
      <c r="A19" s="2">
        <v>102</v>
      </c>
      <c r="B19" s="3" t="s">
        <v>27</v>
      </c>
      <c r="C19" s="4">
        <v>35374</v>
      </c>
      <c r="D19" s="5">
        <f t="shared" si="0"/>
        <v>90</v>
      </c>
      <c r="E19" s="6">
        <f t="shared" si="1"/>
        <v>1</v>
      </c>
      <c r="F19" s="25" t="s">
        <v>425</v>
      </c>
      <c r="G19" s="3" t="s">
        <v>28</v>
      </c>
      <c r="H19" s="106" t="str">
        <f>VLOOKUP(A19,'Çalışan Listesi'!A:G,7,0)</f>
        <v>3.KADEME</v>
      </c>
      <c r="I19" s="65">
        <f>IFERROR(VLOOKUP(A19,'Kaizen Listesi'!A:H,8,0),0)</f>
        <v>0</v>
      </c>
      <c r="J19" s="65">
        <f>I19*VLOOKUP($I$2,'Kriter Ağırlık'!$A$1:$B$8,2,0)</f>
        <v>0</v>
      </c>
      <c r="K19" s="65">
        <f>IFERROR(VLOOKUP(A19,'Hata Kartı '!A:H,8,0),0)</f>
        <v>100</v>
      </c>
      <c r="L19" s="65">
        <f>K19*(VLOOKUP($K$2,'Kriter Ağırlık'!$A$1:$B$8,2,0))</f>
        <v>10</v>
      </c>
      <c r="M19" s="65">
        <f>IFERROR(VLOOKUP(F19,'5S'!$B$8:$E$19,4,0),0)</f>
        <v>1</v>
      </c>
      <c r="N19" s="65">
        <f>VLOOKUP(M19,'5S'!$G$8:$I$14,3,1)*VLOOKUP($M$2,'Kriter Ağırlık'!$A$1:$B$8,2,0)*E19*X19</f>
        <v>8</v>
      </c>
      <c r="O19" s="1">
        <f>IFERROR(VLOOKUP(A19,Devamsızlıklar!A:K,10,0),0)</f>
        <v>0</v>
      </c>
      <c r="P19" s="40">
        <f>VLOOKUP(O19,Aralıklar!$A$2:$C$5,3,1)*VLOOKUP($O$2,'Kriter Ağırlık'!$A$1:$B$8,2,0)*E19*X19</f>
        <v>10</v>
      </c>
      <c r="Q19" s="1">
        <f>IFERROR(VLOOKUP(A19,Devamsızlıklar!A:K,8,0),0)</f>
        <v>0</v>
      </c>
      <c r="R19" s="33">
        <f>VLOOKUP(Q19,Aralıklar!$E$2:$G$5,3,1)</f>
        <v>1</v>
      </c>
      <c r="S19" s="33">
        <f>IFERROR(VLOOKUP(A19,Devamsızlıklar!A:K,9,0),0)</f>
        <v>0</v>
      </c>
      <c r="T19" s="33">
        <f>VLOOKUP(S19,Aralıklar!$I$2:$K$6,3,1)</f>
        <v>50</v>
      </c>
      <c r="U19" s="33">
        <f>IFERROR(VLOOKUP(A19,Devamsızlıklar!A:K,11,0),0)</f>
        <v>0</v>
      </c>
      <c r="V19" s="33">
        <f>VLOOKUP(U19,Aralıklar!$M$2:$O$6,3,1)</f>
        <v>50</v>
      </c>
      <c r="W19" s="40">
        <f>IF(X19=0,0,(T19+V19)*R19*VLOOKUP($W$2,'Kriter Ağırlık'!$A$1:$B$8,2,1)*E19)</f>
        <v>10</v>
      </c>
      <c r="X19" s="40">
        <f>IFERROR(VLOOKUP(A19,Devamsızlıklar!A:M,13,0),1)</f>
        <v>1</v>
      </c>
      <c r="Y19" s="40">
        <f>(OEE!$K$6*VLOOKUP($Y$2,'Kriter Ağırlık'!$A$1:$B$8,2,1))*X19*E19</f>
        <v>35</v>
      </c>
      <c r="Z19" s="40">
        <f>(TELEF!$I$10*VLOOKUP($Z$2,'Kriter Ağırlık'!$A$1:$B$8,2,1))*X19*E19</f>
        <v>15</v>
      </c>
      <c r="AA19" s="40">
        <f t="shared" si="2"/>
        <v>88</v>
      </c>
      <c r="AB19" s="1">
        <v>3</v>
      </c>
      <c r="AC19" s="33">
        <f>VLOOKUP(AB19,'Kriter Ağırlık'!$A$12:$C$17,3,0)</f>
        <v>0</v>
      </c>
      <c r="AD19" s="1">
        <v>10</v>
      </c>
      <c r="AE19" s="33">
        <f>VLOOKUP(AD19,'Kriter Ağırlık'!$E$12:$G$24,3,0)</f>
        <v>1.3779999999999999</v>
      </c>
      <c r="AF19" s="92">
        <f t="shared" si="3"/>
        <v>0</v>
      </c>
      <c r="AG19" t="str">
        <f>VLOOKUP(A19,'Çalışan Listesi'!A:G,6,0)</f>
        <v>TAKIM LİDERİ</v>
      </c>
    </row>
    <row r="20" spans="1:33" s="133" customFormat="1" x14ac:dyDescent="0.2">
      <c r="A20" s="123">
        <v>104</v>
      </c>
      <c r="B20" s="124" t="s">
        <v>29</v>
      </c>
      <c r="C20" s="125">
        <v>35416</v>
      </c>
      <c r="D20" s="126">
        <f t="shared" si="0"/>
        <v>90</v>
      </c>
      <c r="E20" s="127">
        <f t="shared" si="1"/>
        <v>1</v>
      </c>
      <c r="F20" s="128" t="s">
        <v>431</v>
      </c>
      <c r="G20" s="124" t="s">
        <v>30</v>
      </c>
      <c r="H20" s="129" t="str">
        <f>VLOOKUP(A20,'Çalışan Listesi'!A:G,7,0)</f>
        <v>4.KADEME</v>
      </c>
      <c r="I20" s="130">
        <f>IFERROR(VLOOKUP(A20,'Kaizen Listesi'!A:H,8,0),0)</f>
        <v>0</v>
      </c>
      <c r="J20" s="130">
        <f>I20*VLOOKUP($I$2,'Kriter Ağırlık'!$A$1:$B$8,2,0)</f>
        <v>0</v>
      </c>
      <c r="K20" s="130">
        <f>IFERROR(VLOOKUP(A20,'Hata Kartı '!A:H,8,0),0)</f>
        <v>16.666666666666668</v>
      </c>
      <c r="L20" s="130">
        <f>K20*(VLOOKUP($K$2,'Kriter Ağırlık'!$A$1:$B$8,2,0))</f>
        <v>1.666666666666667</v>
      </c>
      <c r="M20" s="130">
        <f>IFERROR(VLOOKUP(F20,'5S'!$B$8:$E$19,4,0),0)</f>
        <v>1</v>
      </c>
      <c r="N20" s="130">
        <f>VLOOKUP(M20,'5S'!$G$8:$I$14,3,1)*VLOOKUP($M$2,'Kriter Ağırlık'!$A$1:$B$8,2,0)*E20*X20</f>
        <v>7.3777777777777782</v>
      </c>
      <c r="O20" s="129">
        <f>IFERROR(VLOOKUP(A20,Devamsızlıklar!A:K,10,0),0)</f>
        <v>0</v>
      </c>
      <c r="P20" s="131">
        <f>VLOOKUP(O20,Aralıklar!$A$2:$C$5,3,1)*VLOOKUP($O$2,'Kriter Ağırlık'!$A$1:$B$8,2,0)*E20*X20</f>
        <v>9.2222222222222232</v>
      </c>
      <c r="Q20" s="1">
        <f>IFERROR(VLOOKUP(A20,Devamsızlıklar!A:K,8,0),0)</f>
        <v>0</v>
      </c>
      <c r="R20" s="33">
        <f>VLOOKUP(Q20,Aralıklar!$E$2:$G$5,3,1)</f>
        <v>1</v>
      </c>
      <c r="S20" s="33">
        <f>IFERROR(VLOOKUP(A20,Devamsızlıklar!A:K,9,0),0)</f>
        <v>7</v>
      </c>
      <c r="T20" s="33">
        <f>VLOOKUP(S20,Aralıklar!$I$2:$K$6,3,1)</f>
        <v>0</v>
      </c>
      <c r="U20" s="33">
        <f>IFERROR(VLOOKUP(A20,Devamsızlıklar!A:K,11,0),0)</f>
        <v>0</v>
      </c>
      <c r="V20" s="33">
        <f>VLOOKUP(U20,Aralıklar!$M$2:$O$6,3,1)</f>
        <v>50</v>
      </c>
      <c r="W20" s="131">
        <f>IF(X20=0,0,(T20+V20)*R20*VLOOKUP($W$2,'Kriter Ağırlık'!$A$1:$B$8,2,1)*E20)</f>
        <v>5</v>
      </c>
      <c r="X20" s="131">
        <f>IFERROR(VLOOKUP(A20,Devamsızlıklar!A:M,13,0),1)</f>
        <v>0.92222222222222228</v>
      </c>
      <c r="Y20" s="131">
        <f>(OEE!$K$6*VLOOKUP($Y$2,'Kriter Ağırlık'!$A$1:$B$8,2,1))*X20*E20</f>
        <v>32.277777777777779</v>
      </c>
      <c r="Z20" s="131">
        <f>(TELEF!$I$10*VLOOKUP($Z$2,'Kriter Ağırlık'!$A$1:$B$8,2,1))*X20*E20</f>
        <v>13.833333333333334</v>
      </c>
      <c r="AA20" s="131">
        <f t="shared" si="2"/>
        <v>69.37777777777778</v>
      </c>
      <c r="AB20" s="129">
        <v>4</v>
      </c>
      <c r="AC20" s="129">
        <f>VLOOKUP(AB20,'Kriter Ağırlık'!$A$12:$C$17,3,0)</f>
        <v>13.5</v>
      </c>
      <c r="AD20" s="129">
        <v>1</v>
      </c>
      <c r="AE20" s="129">
        <f>VLOOKUP(AD20,'Kriter Ağırlık'!$E$12:$G$24,3,0)</f>
        <v>1</v>
      </c>
      <c r="AF20" s="132">
        <f t="shared" si="3"/>
        <v>936.6</v>
      </c>
      <c r="AG20" s="133" t="str">
        <f>VLOOKUP(A20,'Çalışan Listesi'!A:G,6,0)</f>
        <v>TAKIM LİDERİ YARDIMCISI</v>
      </c>
    </row>
    <row r="21" spans="1:33" x14ac:dyDescent="0.2">
      <c r="A21" s="2">
        <v>107</v>
      </c>
      <c r="B21" s="3" t="s">
        <v>31</v>
      </c>
      <c r="C21" s="4">
        <v>35436</v>
      </c>
      <c r="D21" s="5">
        <f t="shared" si="0"/>
        <v>90</v>
      </c>
      <c r="E21" s="6">
        <f t="shared" si="1"/>
        <v>1</v>
      </c>
      <c r="F21" s="25" t="s">
        <v>425</v>
      </c>
      <c r="G21" s="3" t="s">
        <v>12</v>
      </c>
      <c r="H21" s="106" t="str">
        <f>VLOOKUP(A21,'Çalışan Listesi'!A:G,7,0)</f>
        <v>3.KADEME</v>
      </c>
      <c r="I21" s="65">
        <f>IFERROR(VLOOKUP(A21,'Kaizen Listesi'!A:H,8,0),0)</f>
        <v>0</v>
      </c>
      <c r="J21" s="65">
        <f>I21*VLOOKUP($I$2,'Kriter Ağırlık'!$A$1:$B$8,2,0)</f>
        <v>0</v>
      </c>
      <c r="K21" s="65">
        <f>IFERROR(VLOOKUP(A21,'Hata Kartı '!A:H,8,0),0)</f>
        <v>83.333333333333329</v>
      </c>
      <c r="L21" s="65">
        <f>K21*(VLOOKUP($K$2,'Kriter Ağırlık'!$A$1:$B$8,2,0))</f>
        <v>8.3333333333333339</v>
      </c>
      <c r="M21" s="65">
        <f>IFERROR(VLOOKUP(F21,'5S'!$B$8:$E$19,4,0),0)</f>
        <v>1</v>
      </c>
      <c r="N21" s="65">
        <f>VLOOKUP(M21,'5S'!$G$8:$I$14,3,1)*VLOOKUP($M$2,'Kriter Ağırlık'!$A$1:$B$8,2,0)*E21*X21</f>
        <v>8</v>
      </c>
      <c r="O21" s="1">
        <f>IFERROR(VLOOKUP(A21,Devamsızlıklar!A:K,10,0),0)</f>
        <v>0</v>
      </c>
      <c r="P21" s="40">
        <f>VLOOKUP(O21,Aralıklar!$A$2:$C$5,3,1)*VLOOKUP($O$2,'Kriter Ağırlık'!$A$1:$B$8,2,0)*E21*X21</f>
        <v>10</v>
      </c>
      <c r="Q21" s="1">
        <f>IFERROR(VLOOKUP(A21,Devamsızlıklar!A:K,8,0),0)</f>
        <v>0</v>
      </c>
      <c r="R21" s="33">
        <f>VLOOKUP(Q21,Aralıklar!$E$2:$G$5,3,1)</f>
        <v>1</v>
      </c>
      <c r="S21" s="33">
        <f>IFERROR(VLOOKUP(A21,Devamsızlıklar!A:K,9,0),0)</f>
        <v>0</v>
      </c>
      <c r="T21" s="33">
        <f>VLOOKUP(S21,Aralıklar!$I$2:$K$6,3,1)</f>
        <v>50</v>
      </c>
      <c r="U21" s="33">
        <f>IFERROR(VLOOKUP(A21,Devamsızlıklar!A:K,11,0),0)</f>
        <v>0</v>
      </c>
      <c r="V21" s="33">
        <f>VLOOKUP(U21,Aralıklar!$M$2:$O$6,3,1)</f>
        <v>50</v>
      </c>
      <c r="W21" s="40">
        <f>IF(X21=0,0,(T21+V21)*R21*VLOOKUP($W$2,'Kriter Ağırlık'!$A$1:$B$8,2,1)*E21)</f>
        <v>10</v>
      </c>
      <c r="X21" s="40">
        <f>IFERROR(VLOOKUP(A21,Devamsızlıklar!A:M,13,0),1)</f>
        <v>1</v>
      </c>
      <c r="Y21" s="40">
        <f>(OEE!$K$6*VLOOKUP($Y$2,'Kriter Ağırlık'!$A$1:$B$8,2,1))*X21*E21</f>
        <v>35</v>
      </c>
      <c r="Z21" s="40">
        <f>(TELEF!$I$10*VLOOKUP($Z$2,'Kriter Ağırlık'!$A$1:$B$8,2,1))*X21*E21</f>
        <v>15</v>
      </c>
      <c r="AA21" s="40">
        <f t="shared" si="2"/>
        <v>86.333333333333343</v>
      </c>
      <c r="AB21" s="1">
        <v>4</v>
      </c>
      <c r="AC21" s="33">
        <f>VLOOKUP(AB21,'Kriter Ağırlık'!$A$12:$C$17,3,0)</f>
        <v>13.5</v>
      </c>
      <c r="AD21" s="1">
        <v>1</v>
      </c>
      <c r="AE21" s="33">
        <f>VLOOKUP(AD21,'Kriter Ağırlık'!$E$12:$G$24,3,0)</f>
        <v>1</v>
      </c>
      <c r="AF21" s="92">
        <f t="shared" si="3"/>
        <v>1165.5000000000002</v>
      </c>
      <c r="AG21" t="str">
        <f>VLOOKUP(A21,'Çalışan Listesi'!A:G,6,0)</f>
        <v>TAKIM LİDERİ YARDIMCISI</v>
      </c>
    </row>
    <row r="22" spans="1:33" x14ac:dyDescent="0.2">
      <c r="A22" s="2">
        <v>108</v>
      </c>
      <c r="B22" s="3" t="s">
        <v>32</v>
      </c>
      <c r="C22" s="4">
        <v>35445</v>
      </c>
      <c r="D22" s="5">
        <f t="shared" si="0"/>
        <v>90</v>
      </c>
      <c r="E22" s="6">
        <f t="shared" si="1"/>
        <v>1</v>
      </c>
      <c r="F22" s="25" t="s">
        <v>425</v>
      </c>
      <c r="G22" s="3" t="s">
        <v>28</v>
      </c>
      <c r="H22" s="106" t="str">
        <f>VLOOKUP(A22,'Çalışan Listesi'!A:G,7,0)</f>
        <v>3.KADEME</v>
      </c>
      <c r="I22" s="65">
        <f>IFERROR(VLOOKUP(A22,'Kaizen Listesi'!A:H,8,0),0)</f>
        <v>33.333333333333336</v>
      </c>
      <c r="J22" s="65">
        <f>I22*VLOOKUP($I$2,'Kriter Ağırlık'!$A$1:$B$8,2,0)</f>
        <v>4</v>
      </c>
      <c r="K22" s="65">
        <f>IFERROR(VLOOKUP(A22,'Hata Kartı '!A:H,8,0),0)</f>
        <v>0</v>
      </c>
      <c r="L22" s="65">
        <f>K22*(VLOOKUP($K$2,'Kriter Ağırlık'!$A$1:$B$8,2,0))</f>
        <v>0</v>
      </c>
      <c r="M22" s="65">
        <f>IFERROR(VLOOKUP(F22,'5S'!$B$8:$E$19,4,0),0)</f>
        <v>1</v>
      </c>
      <c r="N22" s="65">
        <f>VLOOKUP(M22,'5S'!$G$8:$I$14,3,1)*VLOOKUP($M$2,'Kriter Ağırlık'!$A$1:$B$8,2,0)*E22*X22</f>
        <v>7.4666666666666668</v>
      </c>
      <c r="O22" s="1">
        <f>IFERROR(VLOOKUP(A22,Devamsızlıklar!A:K,10,0),0)</f>
        <v>0</v>
      </c>
      <c r="P22" s="40">
        <f>VLOOKUP(O22,Aralıklar!$A$2:$C$5,3,1)*VLOOKUP($O$2,'Kriter Ağırlık'!$A$1:$B$8,2,0)*E22*X22</f>
        <v>9.3333333333333339</v>
      </c>
      <c r="Q22" s="1">
        <f>IFERROR(VLOOKUP(A22,Devamsızlıklar!A:K,8,0),0)</f>
        <v>0</v>
      </c>
      <c r="R22" s="33">
        <f>VLOOKUP(Q22,Aralıklar!$E$2:$G$5,3,1)</f>
        <v>1</v>
      </c>
      <c r="S22" s="33">
        <f>IFERROR(VLOOKUP(A22,Devamsızlıklar!A:K,9,0),0)</f>
        <v>0</v>
      </c>
      <c r="T22" s="33">
        <f>VLOOKUP(S22,Aralıklar!$I$2:$K$6,3,1)</f>
        <v>50</v>
      </c>
      <c r="U22" s="33">
        <f>IFERROR(VLOOKUP(A22,Devamsızlıklar!A:K,11,0),0)</f>
        <v>0</v>
      </c>
      <c r="V22" s="33">
        <f>VLOOKUP(U22,Aralıklar!$M$2:$O$6,3,1)</f>
        <v>50</v>
      </c>
      <c r="W22" s="40">
        <f>IF(X22=0,0,(T22+V22)*R22*VLOOKUP($W$2,'Kriter Ağırlık'!$A$1:$B$8,2,1)*E22)</f>
        <v>10</v>
      </c>
      <c r="X22" s="40">
        <f>IFERROR(VLOOKUP(A22,Devamsızlıklar!A:M,13,0),1)</f>
        <v>0.93333333333333335</v>
      </c>
      <c r="Y22" s="40">
        <f>(OEE!$K$6*VLOOKUP($Y$2,'Kriter Ağırlık'!$A$1:$B$8,2,1))*X22*E22</f>
        <v>32.666666666666664</v>
      </c>
      <c r="Z22" s="40">
        <f>(TELEF!$I$10*VLOOKUP($Z$2,'Kriter Ağırlık'!$A$1:$B$8,2,1))*X22*E22</f>
        <v>14</v>
      </c>
      <c r="AA22" s="40">
        <f t="shared" si="2"/>
        <v>77.466666666666669</v>
      </c>
      <c r="AB22" s="1">
        <v>3</v>
      </c>
      <c r="AC22" s="33">
        <f>VLOOKUP(AB22,'Kriter Ağırlık'!$A$12:$C$17,3,0)</f>
        <v>0</v>
      </c>
      <c r="AD22" s="1">
        <v>10</v>
      </c>
      <c r="AE22" s="33">
        <f>VLOOKUP(AD22,'Kriter Ağırlık'!$E$12:$G$24,3,0)</f>
        <v>1.3779999999999999</v>
      </c>
      <c r="AF22" s="92">
        <f t="shared" si="3"/>
        <v>0</v>
      </c>
      <c r="AG22" t="str">
        <f>VLOOKUP(A22,'Çalışan Listesi'!A:G,6,0)</f>
        <v>TAKIM LİDERİ</v>
      </c>
    </row>
    <row r="23" spans="1:33" s="122" customFormat="1" x14ac:dyDescent="0.2">
      <c r="A23" s="112">
        <v>109</v>
      </c>
      <c r="B23" s="113" t="s">
        <v>33</v>
      </c>
      <c r="C23" s="114">
        <v>40805</v>
      </c>
      <c r="D23" s="115">
        <v>60</v>
      </c>
      <c r="E23" s="116">
        <f t="shared" si="1"/>
        <v>0.66666666666666663</v>
      </c>
      <c r="F23" s="117" t="s">
        <v>421</v>
      </c>
      <c r="G23" s="113" t="s">
        <v>34</v>
      </c>
      <c r="H23" s="118" t="str">
        <f>VLOOKUP(A23,'Çalışan Listesi'!A:G,7,0)</f>
        <v>3.KADEME</v>
      </c>
      <c r="I23" s="119">
        <f>IFERROR(VLOOKUP(A23,'Kaizen Listesi'!A:H,8,0),0)</f>
        <v>50</v>
      </c>
      <c r="J23" s="119">
        <f>I23*VLOOKUP($I$2,'Kriter Ağırlık'!$A$1:$B$8,2,0)</f>
        <v>6</v>
      </c>
      <c r="K23" s="119">
        <f>IFERROR(VLOOKUP(A23,'Hata Kartı '!A:H,8,0),0)</f>
        <v>50</v>
      </c>
      <c r="L23" s="119">
        <f>K23*(VLOOKUP($K$2,'Kriter Ağırlık'!$A$1:$B$8,2,0))</f>
        <v>5</v>
      </c>
      <c r="M23" s="119">
        <f>IFERROR(VLOOKUP(F23,'5S'!$B$8:$E$19,4,0),0)</f>
        <v>1</v>
      </c>
      <c r="N23" s="119">
        <f>VLOOKUP(M23,'5S'!$G$8:$I$14,3,1)*VLOOKUP($M$2,'Kriter Ağırlık'!$A$1:$B$8,2,0)*E23*X23</f>
        <v>5.333333333333333</v>
      </c>
      <c r="O23" s="118">
        <f>IFERROR(VLOOKUP(A23,Devamsızlıklar!A:K,10,0),0)</f>
        <v>0</v>
      </c>
      <c r="P23" s="120">
        <f>VLOOKUP(O23,Aralıklar!$A$2:$C$5,3,1)*VLOOKUP($O$2,'Kriter Ağırlık'!$A$1:$B$8,2,0)*E23*X23</f>
        <v>6.6666666666666661</v>
      </c>
      <c r="Q23" s="76">
        <f>IFERROR(VLOOKUP(A23,Devamsızlıklar!A:K,8,0),0)</f>
        <v>0</v>
      </c>
      <c r="R23" s="76">
        <f>VLOOKUP(Q23,Aralıklar!$E$2:$G$5,3,1)</f>
        <v>1</v>
      </c>
      <c r="S23" s="76">
        <f>IFERROR(VLOOKUP(A23,Devamsızlıklar!A:K,9,0),0)</f>
        <v>0</v>
      </c>
      <c r="T23" s="76">
        <f>VLOOKUP(S23,Aralıklar!$I$2:$K$6,3,1)</f>
        <v>50</v>
      </c>
      <c r="U23" s="76">
        <f>IFERROR(VLOOKUP(A23,Devamsızlıklar!A:K,11,0),0)</f>
        <v>0</v>
      </c>
      <c r="V23" s="76">
        <f>VLOOKUP(U23,Aralıklar!$M$2:$O$6,3,1)</f>
        <v>50</v>
      </c>
      <c r="W23" s="120">
        <f>IF(X23=0,0,(T23+V23)*R23*VLOOKUP($W$2,'Kriter Ağırlık'!$A$1:$B$8,2,1)*E23)</f>
        <v>6.6666666666666661</v>
      </c>
      <c r="X23" s="120">
        <f>IFERROR(VLOOKUP(A23,Devamsızlıklar!A:M,13,0),1)</f>
        <v>1</v>
      </c>
      <c r="Y23" s="120">
        <f>(OEE!$K$6*VLOOKUP($Y$2,'Kriter Ağırlık'!$A$1:$B$8,2,1))*X23*E23</f>
        <v>23.333333333333332</v>
      </c>
      <c r="Z23" s="120">
        <f>(TELEF!$I$10*VLOOKUP($Z$2,'Kriter Ağırlık'!$A$1:$B$8,2,1))*X23*E23</f>
        <v>10</v>
      </c>
      <c r="AA23" s="120">
        <f t="shared" si="2"/>
        <v>63</v>
      </c>
      <c r="AB23" s="118">
        <v>5</v>
      </c>
      <c r="AC23" s="118">
        <f>VLOOKUP(AB23,'Kriter Ağırlık'!$A$12:$C$17,3,0)</f>
        <v>18.5</v>
      </c>
      <c r="AD23" s="118">
        <v>3</v>
      </c>
      <c r="AE23" s="118">
        <f>VLOOKUP(AD23,'Kriter Ağırlık'!$E$12:$G$24,3,0)</f>
        <v>1.1499999999999999</v>
      </c>
      <c r="AF23" s="121">
        <f t="shared" si="3"/>
        <v>1340.3249999999998</v>
      </c>
      <c r="AG23" s="122" t="str">
        <f>VLOOKUP(A23,'Çalışan Listesi'!A:G,6,0)</f>
        <v>TAKIM LİDERİ YARDIMCISI</v>
      </c>
    </row>
    <row r="24" spans="1:33" x14ac:dyDescent="0.2">
      <c r="A24" s="2">
        <v>112</v>
      </c>
      <c r="B24" s="3" t="s">
        <v>35</v>
      </c>
      <c r="C24" s="4">
        <v>35555</v>
      </c>
      <c r="D24" s="5">
        <f t="shared" ref="D24:D30" si="4">IF($AI$2-C24&gt;=90,90,$AI$2-C24)</f>
        <v>90</v>
      </c>
      <c r="E24" s="6">
        <f t="shared" si="1"/>
        <v>1</v>
      </c>
      <c r="F24" s="25" t="s">
        <v>423</v>
      </c>
      <c r="G24" s="3" t="s">
        <v>36</v>
      </c>
      <c r="H24" s="106" t="str">
        <f>VLOOKUP(A24,'Çalışan Listesi'!A:G,7,0)</f>
        <v>4.KADEME</v>
      </c>
      <c r="I24" s="65">
        <f>IFERROR(VLOOKUP(A24,'Kaizen Listesi'!A:H,8,0),0)</f>
        <v>0</v>
      </c>
      <c r="J24" s="65">
        <f>I24*VLOOKUP($I$2,'Kriter Ağırlık'!$A$1:$B$8,2,0)</f>
        <v>0</v>
      </c>
      <c r="K24" s="65">
        <f>IFERROR(VLOOKUP(A24,'Hata Kartı '!A:H,8,0),0)</f>
        <v>0</v>
      </c>
      <c r="L24" s="65">
        <f>K24*(VLOOKUP($K$2,'Kriter Ağırlık'!$A$1:$B$8,2,0))</f>
        <v>0</v>
      </c>
      <c r="M24" s="65">
        <f>IFERROR(VLOOKUP(F24,'5S'!$B$8:$E$19,4,0),0)</f>
        <v>1</v>
      </c>
      <c r="N24" s="65">
        <f>VLOOKUP(M24,'5S'!$G$8:$I$14,3,1)*VLOOKUP($M$2,'Kriter Ağırlık'!$A$1:$B$8,2,0)*E24*X24</f>
        <v>7.3777777777777782</v>
      </c>
      <c r="O24" s="76">
        <f>IFERROR(VLOOKUP(A24,Devamsızlıklar!A:K,10,0),0)</f>
        <v>0</v>
      </c>
      <c r="P24" s="40">
        <f>VLOOKUP(O24,Aralıklar!$A$2:$C$5,3,1)*VLOOKUP($O$2,'Kriter Ağırlık'!$A$1:$B$8,2,0)*E24*X24</f>
        <v>9.2222222222222232</v>
      </c>
      <c r="Q24" s="76">
        <f>IFERROR(VLOOKUP(A24,Devamsızlıklar!A:K,8,0),0)</f>
        <v>0</v>
      </c>
      <c r="R24" s="76">
        <f>VLOOKUP(Q24,Aralıklar!$E$2:$G$5,3,1)</f>
        <v>1</v>
      </c>
      <c r="S24" s="76">
        <f>IFERROR(VLOOKUP(A24,Devamsızlıklar!A:K,9,0),0)</f>
        <v>0</v>
      </c>
      <c r="T24" s="76">
        <f>VLOOKUP(S24,Aralıklar!$I$2:$K$6,3,1)</f>
        <v>50</v>
      </c>
      <c r="U24" s="76">
        <f>IFERROR(VLOOKUP(A24,Devamsızlıklar!A:K,11,0),0)</f>
        <v>0</v>
      </c>
      <c r="V24" s="76">
        <f>VLOOKUP(U24,Aralıklar!$M$2:$O$6,3,1)</f>
        <v>50</v>
      </c>
      <c r="W24" s="40">
        <f>IF(X24=0,0,(T24+V24)*R24*VLOOKUP($W$2,'Kriter Ağırlık'!$A$1:$B$8,2,1)*E24)</f>
        <v>10</v>
      </c>
      <c r="X24" s="40">
        <f>IFERROR(VLOOKUP(A24,Devamsızlıklar!A:M,13,0),1)</f>
        <v>0.92222222222222228</v>
      </c>
      <c r="Y24" s="40">
        <f>(OEE!$K$6*VLOOKUP($Y$2,'Kriter Ağırlık'!$A$1:$B$8,2,1))*X24*E24</f>
        <v>32.277777777777779</v>
      </c>
      <c r="Z24" s="40">
        <f>(TELEF!$I$10*VLOOKUP($Z$2,'Kriter Ağırlık'!$A$1:$B$8,2,1))*X24*E24</f>
        <v>13.833333333333334</v>
      </c>
      <c r="AA24" s="40">
        <f t="shared" si="2"/>
        <v>72.711111111111109</v>
      </c>
      <c r="AB24" s="76">
        <v>3</v>
      </c>
      <c r="AC24" s="76">
        <f>VLOOKUP(AB24,'Kriter Ağırlık'!$A$12:$C$17,3,0)</f>
        <v>0</v>
      </c>
      <c r="AD24" s="76">
        <v>6</v>
      </c>
      <c r="AE24" s="76">
        <f>VLOOKUP(AD24,'Kriter Ağırlık'!$E$12:$G$24,3,0)</f>
        <v>1.2869999999999999</v>
      </c>
      <c r="AF24" s="92">
        <f t="shared" si="3"/>
        <v>0</v>
      </c>
      <c r="AG24" t="str">
        <f>VLOOKUP(A24,'Çalışan Listesi'!A:G,6,0)</f>
        <v>TAKIM LİDERİ</v>
      </c>
    </row>
    <row r="25" spans="1:33" s="103" customFormat="1" x14ac:dyDescent="0.2">
      <c r="A25" s="93">
        <v>113</v>
      </c>
      <c r="B25" s="94" t="s">
        <v>37</v>
      </c>
      <c r="C25" s="95">
        <v>35584</v>
      </c>
      <c r="D25" s="96">
        <f t="shared" si="4"/>
        <v>90</v>
      </c>
      <c r="E25" s="97">
        <f t="shared" si="1"/>
        <v>1</v>
      </c>
      <c r="F25" s="98" t="s">
        <v>424</v>
      </c>
      <c r="G25" s="94" t="s">
        <v>38</v>
      </c>
      <c r="H25" s="106" t="str">
        <f>VLOOKUP(A25,'Çalışan Listesi'!A:G,7,0)</f>
        <v>KADEME YOK</v>
      </c>
      <c r="I25" s="100">
        <f>IFERROR(VLOOKUP(A25,'Kaizen Listesi'!A:H,8,0),0)</f>
        <v>0</v>
      </c>
      <c r="J25" s="100">
        <f>I25*VLOOKUP($I$2,'Kriter Ağırlık'!$A$1:$B$8,2,0)</f>
        <v>0</v>
      </c>
      <c r="K25" s="100">
        <f>IFERROR(VLOOKUP(A25,'Hata Kartı '!A:H,8,0),0)</f>
        <v>66.666666666666671</v>
      </c>
      <c r="L25" s="100">
        <f>K25*(VLOOKUP($K$2,'Kriter Ağırlık'!$A$1:$B$8,2,0))</f>
        <v>6.6666666666666679</v>
      </c>
      <c r="M25" s="100">
        <f>IFERROR(VLOOKUP(F25,'5S'!$B$8:$E$19,4,0),0)</f>
        <v>1</v>
      </c>
      <c r="N25" s="100">
        <f>VLOOKUP(M25,'5S'!$G$8:$I$14,3,1)*VLOOKUP($M$2,'Kriter Ağırlık'!$A$1:$B$8,2,0)*E25*X25</f>
        <v>8</v>
      </c>
      <c r="O25" s="99">
        <f>IFERROR(VLOOKUP(A25,Devamsızlıklar!A:K,10,0),0)</f>
        <v>0</v>
      </c>
      <c r="P25" s="101">
        <f>VLOOKUP(O25,Aralıklar!$A$2:$C$5,3,1)*VLOOKUP($O$2,'Kriter Ağırlık'!$A$1:$B$8,2,0)*E25*X25</f>
        <v>10</v>
      </c>
      <c r="Q25" s="99">
        <f>IFERROR(VLOOKUP(A25,Devamsızlıklar!A:K,8,0),0)</f>
        <v>0</v>
      </c>
      <c r="R25" s="99">
        <f>VLOOKUP(Q25,Aralıklar!$E$2:$G$5,3,1)</f>
        <v>1</v>
      </c>
      <c r="S25" s="99">
        <f>IFERROR(VLOOKUP(A25,Devamsızlıklar!A:K,9,0),0)</f>
        <v>0</v>
      </c>
      <c r="T25" s="99">
        <f>VLOOKUP(S25,Aralıklar!$I$2:$K$6,3,1)</f>
        <v>50</v>
      </c>
      <c r="U25" s="99">
        <f>IFERROR(VLOOKUP(A25,Devamsızlıklar!A:K,11,0),0)</f>
        <v>0</v>
      </c>
      <c r="V25" s="99">
        <f>VLOOKUP(U25,Aralıklar!$M$2:$O$6,3,1)</f>
        <v>50</v>
      </c>
      <c r="W25" s="40">
        <f>IF(X25=0,0,(T25+V25)*R25*VLOOKUP($W$2,'Kriter Ağırlık'!$A$1:$B$8,2,1)*E25)</f>
        <v>10</v>
      </c>
      <c r="X25" s="101">
        <f>IFERROR(VLOOKUP(A25,Devamsızlıklar!A:M,13,0),1)</f>
        <v>1</v>
      </c>
      <c r="Y25" s="101">
        <f>(OEE!$K$6*VLOOKUP($Y$2,'Kriter Ağırlık'!$A$1:$B$8,2,1))*X25*E25</f>
        <v>35</v>
      </c>
      <c r="Z25" s="101">
        <f>(TELEF!$I$10*VLOOKUP($Z$2,'Kriter Ağırlık'!$A$1:$B$8,2,1))*X25*E25</f>
        <v>15</v>
      </c>
      <c r="AA25" s="101">
        <f t="shared" si="2"/>
        <v>84.666666666666671</v>
      </c>
      <c r="AB25" s="99">
        <v>5</v>
      </c>
      <c r="AC25" s="99">
        <f>VLOOKUP(AB25,'Kriter Ağırlık'!$A$12:$C$17,3,0)</f>
        <v>18.5</v>
      </c>
      <c r="AD25" s="99">
        <v>10</v>
      </c>
      <c r="AE25" s="99">
        <f>VLOOKUP(AD25,'Kriter Ağırlık'!$E$12:$G$24,3,0)</f>
        <v>1.3779999999999999</v>
      </c>
      <c r="AF25" s="102">
        <f t="shared" si="3"/>
        <v>2158.4073333333336</v>
      </c>
      <c r="AG25" t="str">
        <f>VLOOKUP(A25,'Çalışan Listesi'!A:G,6,0)</f>
        <v>OPERATÖR</v>
      </c>
    </row>
    <row r="26" spans="1:33" x14ac:dyDescent="0.2">
      <c r="A26" s="2">
        <v>120</v>
      </c>
      <c r="B26" s="3" t="s">
        <v>39</v>
      </c>
      <c r="C26" s="4">
        <v>35654</v>
      </c>
      <c r="D26" s="5">
        <f t="shared" si="4"/>
        <v>90</v>
      </c>
      <c r="E26" s="6">
        <f t="shared" si="1"/>
        <v>1</v>
      </c>
      <c r="F26" s="25" t="s">
        <v>421</v>
      </c>
      <c r="G26" s="3" t="s">
        <v>10</v>
      </c>
      <c r="H26" s="106" t="str">
        <f>VLOOKUP(A26,'Çalışan Listesi'!A:G,7,0)</f>
        <v>3.KADEME</v>
      </c>
      <c r="I26" s="65">
        <f>IFERROR(VLOOKUP(A26,'Kaizen Listesi'!A:H,8,0),0)</f>
        <v>0</v>
      </c>
      <c r="J26" s="65">
        <f>I26*VLOOKUP($I$2,'Kriter Ağırlık'!$A$1:$B$8,2,0)</f>
        <v>0</v>
      </c>
      <c r="K26" s="65">
        <f>IFERROR(VLOOKUP(A26,'Hata Kartı '!A:H,8,0),0)</f>
        <v>33.333333333333336</v>
      </c>
      <c r="L26" s="65">
        <f>K26*(VLOOKUP($K$2,'Kriter Ağırlık'!$A$1:$B$8,2,0))</f>
        <v>3.3333333333333339</v>
      </c>
      <c r="M26" s="65">
        <f>IFERROR(VLOOKUP(F26,'5S'!$B$8:$E$19,4,0),0)</f>
        <v>1</v>
      </c>
      <c r="N26" s="65">
        <f>VLOOKUP(M26,'5S'!$G$8:$I$14,3,1)*VLOOKUP($M$2,'Kriter Ağırlık'!$A$1:$B$8,2,0)*E26*X26</f>
        <v>8</v>
      </c>
      <c r="O26" s="76">
        <f>IFERROR(VLOOKUP(A26,Devamsızlıklar!A:K,10,0),0)</f>
        <v>0</v>
      </c>
      <c r="P26" s="40">
        <f>VLOOKUP(O26,Aralıklar!$A$2:$C$5,3,1)*VLOOKUP($O$2,'Kriter Ağırlık'!$A$1:$B$8,2,0)*E26*X26</f>
        <v>10</v>
      </c>
      <c r="Q26" s="76">
        <f>IFERROR(VLOOKUP(A26,Devamsızlıklar!A:K,8,0),0)</f>
        <v>0</v>
      </c>
      <c r="R26" s="76">
        <f>VLOOKUP(Q26,Aralıklar!$E$2:$G$5,3,1)</f>
        <v>1</v>
      </c>
      <c r="S26" s="76">
        <f>IFERROR(VLOOKUP(A26,Devamsızlıklar!A:K,9,0),0)</f>
        <v>0</v>
      </c>
      <c r="T26" s="76">
        <f>VLOOKUP(S26,Aralıklar!$I$2:$K$6,3,1)</f>
        <v>50</v>
      </c>
      <c r="U26" s="76">
        <f>IFERROR(VLOOKUP(A26,Devamsızlıklar!A:K,11,0),0)</f>
        <v>0</v>
      </c>
      <c r="V26" s="76">
        <f>VLOOKUP(U26,Aralıklar!$M$2:$O$6,3,1)</f>
        <v>50</v>
      </c>
      <c r="W26" s="40">
        <f>IF(X26=0,0,(T26+V26)*R26*VLOOKUP($W$2,'Kriter Ağırlık'!$A$1:$B$8,2,1)*E26)</f>
        <v>10</v>
      </c>
      <c r="X26" s="40">
        <f>IFERROR(VLOOKUP(A26,Devamsızlıklar!A:M,13,0),1)</f>
        <v>1</v>
      </c>
      <c r="Y26" s="40">
        <f>(OEE!$K$6*VLOOKUP($Y$2,'Kriter Ağırlık'!$A$1:$B$8,2,1))*X26*E26</f>
        <v>35</v>
      </c>
      <c r="Z26" s="40">
        <f>(TELEF!$I$10*VLOOKUP($Z$2,'Kriter Ağırlık'!$A$1:$B$8,2,1))*X26*E26</f>
        <v>15</v>
      </c>
      <c r="AA26" s="40">
        <f t="shared" si="2"/>
        <v>81.333333333333343</v>
      </c>
      <c r="AB26" s="76">
        <v>5</v>
      </c>
      <c r="AC26" s="76">
        <f>VLOOKUP(AB26,'Kriter Ağırlık'!$A$12:$C$17,3,0)</f>
        <v>18.5</v>
      </c>
      <c r="AD26" s="76">
        <v>3</v>
      </c>
      <c r="AE26" s="76">
        <f>VLOOKUP(AD26,'Kriter Ağırlık'!$E$12:$G$24,3,0)</f>
        <v>1.1499999999999999</v>
      </c>
      <c r="AF26" s="92">
        <f t="shared" si="3"/>
        <v>1730.3666666666666</v>
      </c>
      <c r="AG26" t="str">
        <f>VLOOKUP(A26,'Çalışan Listesi'!A:G,6,0)</f>
        <v>OPERATÖR</v>
      </c>
    </row>
    <row r="27" spans="1:33" x14ac:dyDescent="0.2">
      <c r="A27" s="2">
        <v>123</v>
      </c>
      <c r="B27" s="3" t="s">
        <v>40</v>
      </c>
      <c r="C27" s="4">
        <v>36817</v>
      </c>
      <c r="D27" s="5">
        <f t="shared" si="4"/>
        <v>90</v>
      </c>
      <c r="E27" s="6">
        <f t="shared" si="1"/>
        <v>1</v>
      </c>
      <c r="F27" s="25" t="s">
        <v>422</v>
      </c>
      <c r="G27" s="3" t="s">
        <v>1</v>
      </c>
      <c r="H27" s="106" t="str">
        <f>VLOOKUP(A27,'Çalışan Listesi'!A:G,7,0)</f>
        <v>SÜPERVİZÖR</v>
      </c>
      <c r="I27" s="65">
        <f>IFERROR(VLOOKUP(A27,'Kaizen Listesi'!A:H,8,0),0)</f>
        <v>66.666666666666671</v>
      </c>
      <c r="J27" s="65">
        <f>I27*VLOOKUP($I$2,'Kriter Ağırlık'!$A$1:$B$8,2,0)</f>
        <v>8</v>
      </c>
      <c r="K27" s="65">
        <f>IFERROR(VLOOKUP(A27,'Hata Kartı '!A:H,8,0),0)</f>
        <v>33.333333333333336</v>
      </c>
      <c r="L27" s="65">
        <f>K27*(VLOOKUP($K$2,'Kriter Ağırlık'!$A$1:$B$8,2,0))</f>
        <v>3.3333333333333339</v>
      </c>
      <c r="M27" s="65">
        <f>IFERROR(VLOOKUP(F27,'5S'!$B$8:$E$19,4,0),0)</f>
        <v>1</v>
      </c>
      <c r="N27" s="65">
        <f>VLOOKUP(M27,'5S'!$G$8:$I$14,3,1)*VLOOKUP($M$2,'Kriter Ağırlık'!$A$1:$B$8,2,0)*E27*X27</f>
        <v>8</v>
      </c>
      <c r="O27" s="76">
        <f>IFERROR(VLOOKUP(A27,Devamsızlıklar!A:K,10,0),0)</f>
        <v>0</v>
      </c>
      <c r="P27" s="40">
        <f>VLOOKUP(O27,Aralıklar!$A$2:$C$5,3,1)*VLOOKUP($O$2,'Kriter Ağırlık'!$A$1:$B$8,2,0)*E27*X27</f>
        <v>10</v>
      </c>
      <c r="Q27" s="76">
        <f>IFERROR(VLOOKUP(A27,Devamsızlıklar!A:K,8,0),0)</f>
        <v>0</v>
      </c>
      <c r="R27" s="76">
        <f>VLOOKUP(Q27,Aralıklar!$E$2:$G$5,3,1)</f>
        <v>1</v>
      </c>
      <c r="S27" s="76">
        <f>IFERROR(VLOOKUP(A27,Devamsızlıklar!A:K,9,0),0)</f>
        <v>0</v>
      </c>
      <c r="T27" s="76">
        <f>VLOOKUP(S27,Aralıklar!$I$2:$K$6,3,1)</f>
        <v>50</v>
      </c>
      <c r="U27" s="76">
        <f>IFERROR(VLOOKUP(A27,Devamsızlıklar!A:K,11,0),0)</f>
        <v>0</v>
      </c>
      <c r="V27" s="76">
        <f>VLOOKUP(U27,Aralıklar!$M$2:$O$6,3,1)</f>
        <v>50</v>
      </c>
      <c r="W27" s="40">
        <f>IF(X27=0,0,(T27+V27)*R27*VLOOKUP($W$2,'Kriter Ağırlık'!$A$1:$B$8,2,1)*E27)</f>
        <v>10</v>
      </c>
      <c r="X27" s="40">
        <f>IFERROR(VLOOKUP(A27,Devamsızlıklar!A:M,13,0),1)</f>
        <v>1</v>
      </c>
      <c r="Y27" s="40">
        <f>(OEE!$K$6*VLOOKUP($Y$2,'Kriter Ağırlık'!$A$1:$B$8,2,1))*X27*E27</f>
        <v>35</v>
      </c>
      <c r="Z27" s="40">
        <f>(TELEF!$I$10*VLOOKUP($Z$2,'Kriter Ağırlık'!$A$1:$B$8,2,1))*X27*E27</f>
        <v>15</v>
      </c>
      <c r="AA27" s="40">
        <f t="shared" si="2"/>
        <v>89.333333333333343</v>
      </c>
      <c r="AB27" s="76">
        <v>2</v>
      </c>
      <c r="AC27" s="76">
        <f>VLOOKUP(AB27,'Kriter Ağırlık'!$A$12:$C$17,3,0)</f>
        <v>0</v>
      </c>
      <c r="AD27" s="76">
        <v>1</v>
      </c>
      <c r="AE27" s="76">
        <f>VLOOKUP(AD27,'Kriter Ağırlık'!$E$12:$G$24,3,0)</f>
        <v>1</v>
      </c>
      <c r="AF27" s="92">
        <f t="shared" si="3"/>
        <v>0</v>
      </c>
      <c r="AG27" t="str">
        <f>VLOOKUP(A27,'Çalışan Listesi'!A:G,6,0)</f>
        <v>GRUP LİDERİ</v>
      </c>
    </row>
    <row r="28" spans="1:33" s="103" customFormat="1" x14ac:dyDescent="0.2">
      <c r="A28" s="93">
        <v>124</v>
      </c>
      <c r="B28" s="94" t="s">
        <v>41</v>
      </c>
      <c r="C28" s="95">
        <v>37088</v>
      </c>
      <c r="D28" s="96">
        <f t="shared" si="4"/>
        <v>90</v>
      </c>
      <c r="E28" s="97">
        <f t="shared" si="1"/>
        <v>1</v>
      </c>
      <c r="F28" s="98" t="s">
        <v>432</v>
      </c>
      <c r="G28" s="94" t="s">
        <v>42</v>
      </c>
      <c r="H28" s="106" t="str">
        <f>VLOOKUP(A28,'Çalışan Listesi'!A:G,7,0)</f>
        <v>4.KADEME</v>
      </c>
      <c r="I28" s="100">
        <f>IFERROR(VLOOKUP(A28,'Kaizen Listesi'!A:H,8,0),0)</f>
        <v>66.666666666666671</v>
      </c>
      <c r="J28" s="100">
        <f>I28*VLOOKUP($I$2,'Kriter Ağırlık'!$A$1:$B$8,2,0)</f>
        <v>8</v>
      </c>
      <c r="K28" s="100">
        <f>IFERROR(VLOOKUP(A28,'Hata Kartı '!A:H,8,0),0)</f>
        <v>100</v>
      </c>
      <c r="L28" s="100">
        <f>K28*(VLOOKUP($K$2,'Kriter Ağırlık'!$A$1:$B$8,2,0))</f>
        <v>10</v>
      </c>
      <c r="M28" s="100">
        <f>IFERROR(VLOOKUP(F28,'5S'!$B$8:$E$19,4,0),0)</f>
        <v>1</v>
      </c>
      <c r="N28" s="100">
        <f>VLOOKUP(M28,'5S'!$G$8:$I$14,3,1)*VLOOKUP($M$2,'Kriter Ağırlık'!$A$1:$B$8,2,0)*E28*X28</f>
        <v>8</v>
      </c>
      <c r="O28" s="99">
        <f>IFERROR(VLOOKUP(A28,Devamsızlıklar!A:K,10,0),0)</f>
        <v>0</v>
      </c>
      <c r="P28" s="101">
        <f>VLOOKUP(O28,Aralıklar!$A$2:$C$5,3,1)*VLOOKUP($O$2,'Kriter Ağırlık'!$A$1:$B$8,2,0)*E28*X28</f>
        <v>10</v>
      </c>
      <c r="Q28" s="99">
        <f>IFERROR(VLOOKUP(A28,Devamsızlıklar!A:K,8,0),0)</f>
        <v>0</v>
      </c>
      <c r="R28" s="99">
        <f>VLOOKUP(Q28,Aralıklar!$E$2:$G$5,3,1)</f>
        <v>1</v>
      </c>
      <c r="S28" s="99">
        <f>IFERROR(VLOOKUP(A28,Devamsızlıklar!A:K,9,0),0)</f>
        <v>0</v>
      </c>
      <c r="T28" s="99">
        <f>VLOOKUP(S28,Aralıklar!$I$2:$K$6,3,1)</f>
        <v>50</v>
      </c>
      <c r="U28" s="99">
        <f>IFERROR(VLOOKUP(A28,Devamsızlıklar!A:K,11,0),0)</f>
        <v>0</v>
      </c>
      <c r="V28" s="99">
        <f>VLOOKUP(U28,Aralıklar!$M$2:$O$6,3,1)</f>
        <v>50</v>
      </c>
      <c r="W28" s="40">
        <f>IF(X28=0,0,(T28+V28)*R28*VLOOKUP($W$2,'Kriter Ağırlık'!$A$1:$B$8,2,1)*E28)</f>
        <v>10</v>
      </c>
      <c r="X28" s="101">
        <f>IFERROR(VLOOKUP(A28,Devamsızlıklar!A:M,13,0),1)</f>
        <v>1</v>
      </c>
      <c r="Y28" s="101">
        <f>(OEE!$K$6*VLOOKUP($Y$2,'Kriter Ağırlık'!$A$1:$B$8,2,1))*X28*E28</f>
        <v>35</v>
      </c>
      <c r="Z28" s="101">
        <f>(TELEF!$I$10*VLOOKUP($Z$2,'Kriter Ağırlık'!$A$1:$B$8,2,1))*X28*E28</f>
        <v>15</v>
      </c>
      <c r="AA28" s="101">
        <f t="shared" si="2"/>
        <v>96</v>
      </c>
      <c r="AB28" s="99">
        <v>4</v>
      </c>
      <c r="AC28" s="99">
        <f>VLOOKUP(AB28,'Kriter Ağırlık'!$A$12:$C$17,3,0)</f>
        <v>13.5</v>
      </c>
      <c r="AD28" s="99">
        <v>1</v>
      </c>
      <c r="AE28" s="99">
        <f>VLOOKUP(AD28,'Kriter Ağırlık'!$E$12:$G$24,3,0)</f>
        <v>1</v>
      </c>
      <c r="AF28" s="102">
        <f t="shared" si="3"/>
        <v>1296</v>
      </c>
      <c r="AG28" t="str">
        <f>VLOOKUP(A28,'Çalışan Listesi'!A:G,6,0)</f>
        <v>TAKIM LİDERİ YARDIMCISI</v>
      </c>
    </row>
    <row r="29" spans="1:33" x14ac:dyDescent="0.2">
      <c r="A29" s="2">
        <v>125</v>
      </c>
      <c r="B29" s="3" t="s">
        <v>43</v>
      </c>
      <c r="C29" s="4">
        <v>35688</v>
      </c>
      <c r="D29" s="5">
        <f t="shared" si="4"/>
        <v>90</v>
      </c>
      <c r="E29" s="6">
        <f t="shared" si="1"/>
        <v>1</v>
      </c>
      <c r="F29" s="25" t="s">
        <v>424</v>
      </c>
      <c r="G29" s="3" t="s">
        <v>44</v>
      </c>
      <c r="H29" s="106" t="str">
        <f>VLOOKUP(A29,'Çalışan Listesi'!A:G,7,0)</f>
        <v>4.KADEME</v>
      </c>
      <c r="I29" s="65">
        <f>IFERROR(VLOOKUP(A29,'Kaizen Listesi'!A:H,8,0),0)</f>
        <v>0</v>
      </c>
      <c r="J29" s="65">
        <f>I29*VLOOKUP($I$2,'Kriter Ağırlık'!$A$1:$B$8,2,0)</f>
        <v>0</v>
      </c>
      <c r="K29" s="65">
        <f>IFERROR(VLOOKUP(A29,'Hata Kartı '!A:H,8,0),0)</f>
        <v>100</v>
      </c>
      <c r="L29" s="65">
        <f>K29*(VLOOKUP($K$2,'Kriter Ağırlık'!$A$1:$B$8,2,0))</f>
        <v>10</v>
      </c>
      <c r="M29" s="65">
        <f>IFERROR(VLOOKUP(F29,'5S'!$B$8:$E$19,4,0),0)</f>
        <v>1</v>
      </c>
      <c r="N29" s="65">
        <f>VLOOKUP(M29,'5S'!$G$8:$I$14,3,1)*VLOOKUP($M$2,'Kriter Ağırlık'!$A$1:$B$8,2,0)*E29*X29</f>
        <v>7.3777777777777782</v>
      </c>
      <c r="O29" s="76">
        <f>IFERROR(VLOOKUP(A29,Devamsızlıklar!A:K,10,0),0)</f>
        <v>0</v>
      </c>
      <c r="P29" s="40">
        <f>VLOOKUP(O29,Aralıklar!$A$2:$C$5,3,1)*VLOOKUP($O$2,'Kriter Ağırlık'!$A$1:$B$8,2,0)*E29*X29</f>
        <v>9.2222222222222232</v>
      </c>
      <c r="Q29" s="76">
        <f>IFERROR(VLOOKUP(A29,Devamsızlıklar!A:K,8,0),0)</f>
        <v>0</v>
      </c>
      <c r="R29" s="76">
        <f>VLOOKUP(Q29,Aralıklar!$E$2:$G$5,3,1)</f>
        <v>1</v>
      </c>
      <c r="S29" s="76">
        <f>IFERROR(VLOOKUP(A29,Devamsızlıklar!A:K,9,0),0)</f>
        <v>0</v>
      </c>
      <c r="T29" s="76">
        <f>VLOOKUP(S29,Aralıklar!$I$2:$K$6,3,1)</f>
        <v>50</v>
      </c>
      <c r="U29" s="76">
        <f>IFERROR(VLOOKUP(A29,Devamsızlıklar!A:K,11,0),0)</f>
        <v>0</v>
      </c>
      <c r="V29" s="76">
        <f>VLOOKUP(U29,Aralıklar!$M$2:$O$6,3,1)</f>
        <v>50</v>
      </c>
      <c r="W29" s="40">
        <f>IF(X29=0,0,(T29+V29)*R29*VLOOKUP($W$2,'Kriter Ağırlık'!$A$1:$B$8,2,1)*E29)</f>
        <v>10</v>
      </c>
      <c r="X29" s="40">
        <f>IFERROR(VLOOKUP(A29,Devamsızlıklar!A:M,13,0),1)</f>
        <v>0.92222222222222228</v>
      </c>
      <c r="Y29" s="40">
        <f>(OEE!$K$6*VLOOKUP($Y$2,'Kriter Ağırlık'!$A$1:$B$8,2,1))*X29*E29</f>
        <v>32.277777777777779</v>
      </c>
      <c r="Z29" s="40">
        <f>(TELEF!$I$10*VLOOKUP($Z$2,'Kriter Ağırlık'!$A$1:$B$8,2,1))*X29*E29</f>
        <v>13.833333333333334</v>
      </c>
      <c r="AA29" s="40">
        <f t="shared" si="2"/>
        <v>82.711111111111109</v>
      </c>
      <c r="AB29" s="76">
        <v>5</v>
      </c>
      <c r="AC29" s="76">
        <f>VLOOKUP(AB29,'Kriter Ağırlık'!$A$12:$C$17,3,0)</f>
        <v>18.5</v>
      </c>
      <c r="AD29" s="76">
        <v>2</v>
      </c>
      <c r="AE29" s="76">
        <f>VLOOKUP(AD29,'Kriter Ağırlık'!$E$12:$G$24,3,0)</f>
        <v>1.232</v>
      </c>
      <c r="AF29" s="92">
        <f t="shared" si="3"/>
        <v>1885.1516444444444</v>
      </c>
      <c r="AG29" t="str">
        <f>VLOOKUP(A29,'Çalışan Listesi'!A:G,6,0)</f>
        <v>OPERATÖR</v>
      </c>
    </row>
    <row r="30" spans="1:33" x14ac:dyDescent="0.2">
      <c r="A30" s="2">
        <v>129</v>
      </c>
      <c r="B30" s="3" t="s">
        <v>45</v>
      </c>
      <c r="C30" s="4">
        <v>37321</v>
      </c>
      <c r="D30" s="5">
        <f t="shared" si="4"/>
        <v>90</v>
      </c>
      <c r="E30" s="6">
        <f t="shared" si="1"/>
        <v>1</v>
      </c>
      <c r="F30" s="25" t="s">
        <v>429</v>
      </c>
      <c r="G30" s="3" t="s">
        <v>46</v>
      </c>
      <c r="H30" s="106" t="str">
        <f>VLOOKUP(A30,'Çalışan Listesi'!A:G,7,0)</f>
        <v>4.KADEME</v>
      </c>
      <c r="I30" s="65">
        <f>IFERROR(VLOOKUP(A30,'Kaizen Listesi'!A:H,8,0),0)</f>
        <v>66.666666666666671</v>
      </c>
      <c r="J30" s="65">
        <f>I30*VLOOKUP($I$2,'Kriter Ağırlık'!$A$1:$B$8,2,0)</f>
        <v>8</v>
      </c>
      <c r="K30" s="65">
        <f>IFERROR(VLOOKUP(A30,'Hata Kartı '!A:H,8,0),0)</f>
        <v>83.333333333333329</v>
      </c>
      <c r="L30" s="65">
        <f>K30*(VLOOKUP($K$2,'Kriter Ağırlık'!$A$1:$B$8,2,0))</f>
        <v>8.3333333333333339</v>
      </c>
      <c r="M30" s="65">
        <f>IFERROR(VLOOKUP(F30,'5S'!$B$8:$E$19,4,0),0)</f>
        <v>1</v>
      </c>
      <c r="N30" s="65">
        <f>VLOOKUP(M30,'5S'!$G$8:$I$14,3,1)*VLOOKUP($M$2,'Kriter Ağırlık'!$A$1:$B$8,2,0)*E30*X30</f>
        <v>8</v>
      </c>
      <c r="O30" s="76">
        <f>IFERROR(VLOOKUP(A30,Devamsızlıklar!A:K,10,0),0)</f>
        <v>0</v>
      </c>
      <c r="P30" s="40">
        <f>VLOOKUP(O30,Aralıklar!$A$2:$C$5,3,1)*VLOOKUP($O$2,'Kriter Ağırlık'!$A$1:$B$8,2,0)*E30*X30</f>
        <v>10</v>
      </c>
      <c r="Q30" s="76">
        <f>IFERROR(VLOOKUP(A30,Devamsızlıklar!A:K,8,0),0)</f>
        <v>0</v>
      </c>
      <c r="R30" s="76">
        <f>VLOOKUP(Q30,Aralıklar!$E$2:$G$5,3,1)</f>
        <v>1</v>
      </c>
      <c r="S30" s="76">
        <f>IFERROR(VLOOKUP(A30,Devamsızlıklar!A:K,9,0),0)</f>
        <v>0</v>
      </c>
      <c r="T30" s="76">
        <f>VLOOKUP(S30,Aralıklar!$I$2:$K$6,3,1)</f>
        <v>50</v>
      </c>
      <c r="U30" s="76">
        <f>IFERROR(VLOOKUP(A30,Devamsızlıklar!A:K,11,0),0)</f>
        <v>0</v>
      </c>
      <c r="V30" s="76">
        <f>VLOOKUP(U30,Aralıklar!$M$2:$O$6,3,1)</f>
        <v>50</v>
      </c>
      <c r="W30" s="40">
        <f>IF(X30=0,0,(T30+V30)*R30*VLOOKUP($W$2,'Kriter Ağırlık'!$A$1:$B$8,2,1)*E30)</f>
        <v>10</v>
      </c>
      <c r="X30" s="40">
        <f>IFERROR(VLOOKUP(A30,Devamsızlıklar!A:M,13,0),1)</f>
        <v>1</v>
      </c>
      <c r="Y30" s="40">
        <f>(OEE!$K$6*VLOOKUP($Y$2,'Kriter Ağırlık'!$A$1:$B$8,2,1))*X30*E30</f>
        <v>35</v>
      </c>
      <c r="Z30" s="40">
        <f>(TELEF!$I$10*VLOOKUP($Z$2,'Kriter Ağırlık'!$A$1:$B$8,2,1))*X30*E30</f>
        <v>15</v>
      </c>
      <c r="AA30" s="40">
        <f t="shared" si="2"/>
        <v>94.333333333333343</v>
      </c>
      <c r="AB30" s="76">
        <v>5</v>
      </c>
      <c r="AC30" s="76">
        <f>VLOOKUP(AB30,'Kriter Ağırlık'!$A$12:$C$17,3,0)</f>
        <v>18.5</v>
      </c>
      <c r="AD30" s="76">
        <v>2</v>
      </c>
      <c r="AE30" s="76">
        <f>VLOOKUP(AD30,'Kriter Ağırlık'!$E$12:$G$24,3,0)</f>
        <v>1.232</v>
      </c>
      <c r="AF30" s="92">
        <f t="shared" si="3"/>
        <v>2150.0453333333335</v>
      </c>
      <c r="AG30" t="str">
        <f>VLOOKUP(A30,'Çalışan Listesi'!A:G,6,0)</f>
        <v>OPERATÖR</v>
      </c>
    </row>
    <row r="31" spans="1:33" s="122" customFormat="1" x14ac:dyDescent="0.2">
      <c r="A31" s="112">
        <v>131</v>
      </c>
      <c r="B31" s="113" t="s">
        <v>47</v>
      </c>
      <c r="C31" s="114">
        <v>37475</v>
      </c>
      <c r="D31" s="115">
        <v>60</v>
      </c>
      <c r="E31" s="116">
        <f t="shared" si="1"/>
        <v>0.66666666666666663</v>
      </c>
      <c r="F31" s="117" t="s">
        <v>421</v>
      </c>
      <c r="G31" s="113" t="s">
        <v>48</v>
      </c>
      <c r="H31" s="118" t="str">
        <f>VLOOKUP(A31,'Çalışan Listesi'!A:G,7,0)</f>
        <v>4.KADEME</v>
      </c>
      <c r="I31" s="119">
        <f>IFERROR(VLOOKUP(A31,'Kaizen Listesi'!A:H,8,0),0)</f>
        <v>50</v>
      </c>
      <c r="J31" s="119">
        <f>I31*VLOOKUP($I$2,'Kriter Ağırlık'!$A$1:$B$8,2,0)</f>
        <v>6</v>
      </c>
      <c r="K31" s="119">
        <f>IFERROR(VLOOKUP(A31,'Hata Kartı '!A:H,8,0),0)</f>
        <v>50</v>
      </c>
      <c r="L31" s="119">
        <f>K31*(VLOOKUP($K$2,'Kriter Ağırlık'!$A$1:$B$8,2,0))</f>
        <v>5</v>
      </c>
      <c r="M31" s="119">
        <f>IFERROR(VLOOKUP(F31,'5S'!$B$8:$E$19,4,0),0)</f>
        <v>1</v>
      </c>
      <c r="N31" s="119">
        <f>VLOOKUP(M31,'5S'!$G$8:$I$14,3,1)*VLOOKUP($M$2,'Kriter Ağırlık'!$A$1:$B$8,2,0)*E31*X31</f>
        <v>5.333333333333333</v>
      </c>
      <c r="O31" s="118">
        <f>IFERROR(VLOOKUP(A31,Devamsızlıklar!A:K,10,0),0)</f>
        <v>0</v>
      </c>
      <c r="P31" s="120">
        <f>VLOOKUP(O31,Aralıklar!$A$2:$C$5,3,1)*VLOOKUP($O$2,'Kriter Ağırlık'!$A$1:$B$8,2,0)*E31*X31</f>
        <v>6.6666666666666661</v>
      </c>
      <c r="Q31" s="76">
        <f>IFERROR(VLOOKUP(A31,Devamsızlıklar!A:K,8,0),0)</f>
        <v>0</v>
      </c>
      <c r="R31" s="76">
        <f>VLOOKUP(Q31,Aralıklar!$E$2:$G$5,3,1)</f>
        <v>1</v>
      </c>
      <c r="S31" s="76">
        <f>IFERROR(VLOOKUP(A31,Devamsızlıklar!A:K,9,0),0)</f>
        <v>0</v>
      </c>
      <c r="T31" s="76">
        <f>VLOOKUP(S31,Aralıklar!$I$2:$K$6,3,1)</f>
        <v>50</v>
      </c>
      <c r="U31" s="76">
        <f>IFERROR(VLOOKUP(A31,Devamsızlıklar!A:K,11,0),0)</f>
        <v>0</v>
      </c>
      <c r="V31" s="76">
        <f>VLOOKUP(U31,Aralıklar!$M$2:$O$6,3,1)</f>
        <v>50</v>
      </c>
      <c r="W31" s="120">
        <f>IF(X31=0,0,(T31+V31)*R31*VLOOKUP($W$2,'Kriter Ağırlık'!$A$1:$B$8,2,1)*E31)</f>
        <v>6.6666666666666661</v>
      </c>
      <c r="X31" s="120">
        <f>IFERROR(VLOOKUP(A31,Devamsızlıklar!A:M,13,0),1)</f>
        <v>1</v>
      </c>
      <c r="Y31" s="120">
        <f>(OEE!$K$6*VLOOKUP($Y$2,'Kriter Ağırlık'!$A$1:$B$8,2,1))*X31*E31</f>
        <v>23.333333333333332</v>
      </c>
      <c r="Z31" s="120">
        <f>(TELEF!$I$10*VLOOKUP($Z$2,'Kriter Ağırlık'!$A$1:$B$8,2,1))*X31*E31</f>
        <v>10</v>
      </c>
      <c r="AA31" s="120">
        <f t="shared" si="2"/>
        <v>63</v>
      </c>
      <c r="AB31" s="118">
        <v>4</v>
      </c>
      <c r="AC31" s="118">
        <f>VLOOKUP(AB31,'Kriter Ağırlık'!$A$12:$C$17,3,0)</f>
        <v>13.5</v>
      </c>
      <c r="AD31" s="118">
        <v>2</v>
      </c>
      <c r="AE31" s="118">
        <f>VLOOKUP(AD31,'Kriter Ağırlık'!$E$12:$G$24,3,0)</f>
        <v>1.232</v>
      </c>
      <c r="AF31" s="121">
        <f t="shared" si="3"/>
        <v>1047.816</v>
      </c>
      <c r="AG31" s="122" t="str">
        <f>VLOOKUP(A31,'Çalışan Listesi'!A:G,6,0)</f>
        <v>TAKIM LİDERİ</v>
      </c>
    </row>
    <row r="32" spans="1:33" x14ac:dyDescent="0.2">
      <c r="A32" s="2">
        <v>135</v>
      </c>
      <c r="B32" s="3" t="s">
        <v>49</v>
      </c>
      <c r="C32" s="4">
        <v>42584</v>
      </c>
      <c r="D32" s="5">
        <f t="shared" ref="D32:D40" si="5">IF($AI$2-C32&gt;=90,90,$AI$2-C32)</f>
        <v>90</v>
      </c>
      <c r="E32" s="6">
        <f t="shared" si="1"/>
        <v>1</v>
      </c>
      <c r="F32" s="25" t="s">
        <v>424</v>
      </c>
      <c r="G32" s="3" t="s">
        <v>44</v>
      </c>
      <c r="H32" s="106" t="str">
        <f>VLOOKUP(A32,'Çalışan Listesi'!A:G,7,0)</f>
        <v>4.KADEME</v>
      </c>
      <c r="I32" s="65">
        <f>IFERROR(VLOOKUP(A32,'Kaizen Listesi'!A:H,8,0),0)</f>
        <v>33.333333333333336</v>
      </c>
      <c r="J32" s="65">
        <f>I32*VLOOKUP($I$2,'Kriter Ağırlık'!$A$1:$B$8,2,0)</f>
        <v>4</v>
      </c>
      <c r="K32" s="65">
        <f>IFERROR(VLOOKUP(A32,'Hata Kartı '!A:H,8,0),0)</f>
        <v>66.666666666666671</v>
      </c>
      <c r="L32" s="65">
        <f>K32*(VLOOKUP($K$2,'Kriter Ağırlık'!$A$1:$B$8,2,0))</f>
        <v>6.6666666666666679</v>
      </c>
      <c r="M32" s="65">
        <f>IFERROR(VLOOKUP(F32,'5S'!$B$8:$E$19,4,0),0)</f>
        <v>1</v>
      </c>
      <c r="N32" s="65">
        <f>VLOOKUP(M32,'5S'!$G$8:$I$14,3,1)*VLOOKUP($M$2,'Kriter Ağırlık'!$A$1:$B$8,2,0)*E32*X32</f>
        <v>7.3777777777777782</v>
      </c>
      <c r="O32" s="76">
        <f>IFERROR(VLOOKUP(A32,Devamsızlıklar!A:K,10,0),0)</f>
        <v>0</v>
      </c>
      <c r="P32" s="40">
        <f>VLOOKUP(O32,Aralıklar!$A$2:$C$5,3,1)*VLOOKUP($O$2,'Kriter Ağırlık'!$A$1:$B$8,2,0)*E32*X32</f>
        <v>9.2222222222222232</v>
      </c>
      <c r="Q32" s="76">
        <f>IFERROR(VLOOKUP(A32,Devamsızlıklar!A:K,8,0),0)</f>
        <v>0</v>
      </c>
      <c r="R32" s="76">
        <f>VLOOKUP(Q32,Aralıklar!$E$2:$G$5,3,1)</f>
        <v>1</v>
      </c>
      <c r="S32" s="76">
        <f>IFERROR(VLOOKUP(A32,Devamsızlıklar!A:K,9,0),0)</f>
        <v>0</v>
      </c>
      <c r="T32" s="76">
        <f>VLOOKUP(S32,Aralıklar!$I$2:$K$6,3,1)</f>
        <v>50</v>
      </c>
      <c r="U32" s="76">
        <f>IFERROR(VLOOKUP(A32,Devamsızlıklar!A:K,11,0),0)</f>
        <v>0</v>
      </c>
      <c r="V32" s="76">
        <f>VLOOKUP(U32,Aralıklar!$M$2:$O$6,3,1)</f>
        <v>50</v>
      </c>
      <c r="W32" s="40">
        <f>IF(X32=0,0,(T32+V32)*R32*VLOOKUP($W$2,'Kriter Ağırlık'!$A$1:$B$8,2,1)*E32)</f>
        <v>10</v>
      </c>
      <c r="X32" s="40">
        <f>IFERROR(VLOOKUP(A32,Devamsızlıklar!A:M,13,0),1)</f>
        <v>0.92222222222222228</v>
      </c>
      <c r="Y32" s="40">
        <f>(OEE!$K$6*VLOOKUP($Y$2,'Kriter Ağırlık'!$A$1:$B$8,2,1))*X32*E32</f>
        <v>32.277777777777779</v>
      </c>
      <c r="Z32" s="40">
        <f>(TELEF!$I$10*VLOOKUP($Z$2,'Kriter Ağırlık'!$A$1:$B$8,2,1))*X32*E32</f>
        <v>13.833333333333334</v>
      </c>
      <c r="AA32" s="40">
        <f t="shared" si="2"/>
        <v>83.37777777777778</v>
      </c>
      <c r="AB32" s="76">
        <v>5</v>
      </c>
      <c r="AC32" s="76">
        <f>VLOOKUP(AB32,'Kriter Ağırlık'!$A$12:$C$17,3,0)</f>
        <v>18.5</v>
      </c>
      <c r="AD32" s="76">
        <v>2</v>
      </c>
      <c r="AE32" s="76">
        <f>VLOOKUP(AD32,'Kriter Ağırlık'!$E$12:$G$24,3,0)</f>
        <v>1.232</v>
      </c>
      <c r="AF32" s="92">
        <f t="shared" si="3"/>
        <v>1900.3463111111109</v>
      </c>
      <c r="AG32" t="str">
        <f>VLOOKUP(A32,'Çalışan Listesi'!A:G,6,0)</f>
        <v>OPERATÖR</v>
      </c>
    </row>
    <row r="33" spans="1:33" x14ac:dyDescent="0.2">
      <c r="A33" s="2">
        <v>138</v>
      </c>
      <c r="B33" s="3" t="s">
        <v>50</v>
      </c>
      <c r="C33" s="4">
        <v>42884</v>
      </c>
      <c r="D33" s="5">
        <f t="shared" si="5"/>
        <v>90</v>
      </c>
      <c r="E33" s="6">
        <f t="shared" si="1"/>
        <v>1</v>
      </c>
      <c r="F33" s="25" t="s">
        <v>429</v>
      </c>
      <c r="G33" s="3" t="s">
        <v>46</v>
      </c>
      <c r="H33" s="106" t="str">
        <f>VLOOKUP(A33,'Çalışan Listesi'!A:G,7,0)</f>
        <v>3.KADEME</v>
      </c>
      <c r="I33" s="65">
        <f>IFERROR(VLOOKUP(A33,'Kaizen Listesi'!A:H,8,0),0)</f>
        <v>0</v>
      </c>
      <c r="J33" s="65">
        <f>I33*VLOOKUP($I$2,'Kriter Ağırlık'!$A$1:$B$8,2,0)</f>
        <v>0</v>
      </c>
      <c r="K33" s="65">
        <f>IFERROR(VLOOKUP(A33,'Hata Kartı '!A:H,8,0),0)</f>
        <v>0</v>
      </c>
      <c r="L33" s="65">
        <f>K33*(VLOOKUP($K$2,'Kriter Ağırlık'!$A$1:$B$8,2,0))</f>
        <v>0</v>
      </c>
      <c r="M33" s="65">
        <f>IFERROR(VLOOKUP(F33,'5S'!$B$8:$E$19,4,0),0)</f>
        <v>1</v>
      </c>
      <c r="N33" s="65">
        <f>VLOOKUP(M33,'5S'!$G$8:$I$14,3,1)*VLOOKUP($M$2,'Kriter Ağırlık'!$A$1:$B$8,2,0)*E33*X33</f>
        <v>8</v>
      </c>
      <c r="O33" s="76">
        <f>IFERROR(VLOOKUP(A33,Devamsızlıklar!A:K,10,0),0)</f>
        <v>0</v>
      </c>
      <c r="P33" s="40">
        <f>VLOOKUP(O33,Aralıklar!$A$2:$C$5,3,1)*VLOOKUP($O$2,'Kriter Ağırlık'!$A$1:$B$8,2,0)*E33*X33</f>
        <v>10</v>
      </c>
      <c r="Q33" s="76">
        <f>IFERROR(VLOOKUP(A33,Devamsızlıklar!A:K,8,0),0)</f>
        <v>0</v>
      </c>
      <c r="R33" s="76">
        <f>VLOOKUP(Q33,Aralıklar!$E$2:$G$5,3,1)</f>
        <v>1</v>
      </c>
      <c r="S33" s="76">
        <f>IFERROR(VLOOKUP(A33,Devamsızlıklar!A:K,9,0),0)</f>
        <v>0</v>
      </c>
      <c r="T33" s="76">
        <f>VLOOKUP(S33,Aralıklar!$I$2:$K$6,3,1)</f>
        <v>50</v>
      </c>
      <c r="U33" s="76">
        <f>IFERROR(VLOOKUP(A33,Devamsızlıklar!A:K,11,0),0)</f>
        <v>0</v>
      </c>
      <c r="V33" s="76">
        <f>VLOOKUP(U33,Aralıklar!$M$2:$O$6,3,1)</f>
        <v>50</v>
      </c>
      <c r="W33" s="40">
        <f>IF(X33=0,0,(T33+V33)*R33*VLOOKUP($W$2,'Kriter Ağırlık'!$A$1:$B$8,2,1)*E33)</f>
        <v>10</v>
      </c>
      <c r="X33" s="40">
        <f>IFERROR(VLOOKUP(A33,Devamsızlıklar!A:M,13,0),1)</f>
        <v>1</v>
      </c>
      <c r="Y33" s="40">
        <f>(OEE!$K$6*VLOOKUP($Y$2,'Kriter Ağırlık'!$A$1:$B$8,2,1))*X33*E33</f>
        <v>35</v>
      </c>
      <c r="Z33" s="40">
        <f>(TELEF!$I$10*VLOOKUP($Z$2,'Kriter Ağırlık'!$A$1:$B$8,2,1))*X33*E33</f>
        <v>15</v>
      </c>
      <c r="AA33" s="40">
        <f t="shared" si="2"/>
        <v>78</v>
      </c>
      <c r="AB33" s="76">
        <v>5</v>
      </c>
      <c r="AC33" s="76">
        <f>VLOOKUP(AB33,'Kriter Ağırlık'!$A$12:$C$17,3,0)</f>
        <v>18.5</v>
      </c>
      <c r="AD33" s="76">
        <v>3</v>
      </c>
      <c r="AE33" s="76">
        <f>VLOOKUP(AD33,'Kriter Ağırlık'!$E$12:$G$24,3,0)</f>
        <v>1.1499999999999999</v>
      </c>
      <c r="AF33" s="92">
        <f t="shared" si="3"/>
        <v>1659.4499999999998</v>
      </c>
      <c r="AG33" t="str">
        <f>VLOOKUP(A33,'Çalışan Listesi'!A:G,6,0)</f>
        <v>OPERATÖR</v>
      </c>
    </row>
    <row r="34" spans="1:33" x14ac:dyDescent="0.2">
      <c r="A34" s="2">
        <v>146</v>
      </c>
      <c r="B34" s="3" t="s">
        <v>51</v>
      </c>
      <c r="C34" s="4">
        <v>42828</v>
      </c>
      <c r="D34" s="5">
        <f t="shared" si="5"/>
        <v>90</v>
      </c>
      <c r="E34" s="6">
        <f t="shared" si="1"/>
        <v>1</v>
      </c>
      <c r="F34" s="25" t="s">
        <v>422</v>
      </c>
      <c r="G34" s="3" t="s">
        <v>52</v>
      </c>
      <c r="H34" s="106" t="str">
        <f>VLOOKUP(A34,'Çalışan Listesi'!A:G,7,0)</f>
        <v>2.KADEME</v>
      </c>
      <c r="I34" s="65">
        <f>IFERROR(VLOOKUP(A34,'Kaizen Listesi'!A:H,8,0),0)</f>
        <v>0</v>
      </c>
      <c r="J34" s="65">
        <f>I34*VLOOKUP($I$2,'Kriter Ağırlık'!$A$1:$B$8,2,0)</f>
        <v>0</v>
      </c>
      <c r="K34" s="65">
        <f>IFERROR(VLOOKUP(A34,'Hata Kartı '!A:H,8,0),0)</f>
        <v>0</v>
      </c>
      <c r="L34" s="65">
        <f>K34*(VLOOKUP($K$2,'Kriter Ağırlık'!$A$1:$B$8,2,0))</f>
        <v>0</v>
      </c>
      <c r="M34" s="65">
        <f>IFERROR(VLOOKUP(F34,'5S'!$B$8:$E$19,4,0),0)</f>
        <v>1</v>
      </c>
      <c r="N34" s="65">
        <f>VLOOKUP(M34,'5S'!$G$8:$I$14,3,1)*VLOOKUP($M$2,'Kriter Ağırlık'!$A$1:$B$8,2,0)*E34*X34</f>
        <v>8</v>
      </c>
      <c r="O34" s="76">
        <f>IFERROR(VLOOKUP(A34,Devamsızlıklar!A:K,10,0),0)</f>
        <v>0</v>
      </c>
      <c r="P34" s="40">
        <f>VLOOKUP(O34,Aralıklar!$A$2:$C$5,3,1)*VLOOKUP($O$2,'Kriter Ağırlık'!$A$1:$B$8,2,0)*E34*X34</f>
        <v>10</v>
      </c>
      <c r="Q34" s="76">
        <f>IFERROR(VLOOKUP(A34,Devamsızlıklar!A:K,8,0),0)</f>
        <v>0</v>
      </c>
      <c r="R34" s="76">
        <f>VLOOKUP(Q34,Aralıklar!$E$2:$G$5,3,1)</f>
        <v>1</v>
      </c>
      <c r="S34" s="76">
        <f>IFERROR(VLOOKUP(A34,Devamsızlıklar!A:K,9,0),0)</f>
        <v>0</v>
      </c>
      <c r="T34" s="76">
        <f>VLOOKUP(S34,Aralıklar!$I$2:$K$6,3,1)</f>
        <v>50</v>
      </c>
      <c r="U34" s="76">
        <f>IFERROR(VLOOKUP(A34,Devamsızlıklar!A:K,11,0),0)</f>
        <v>0</v>
      </c>
      <c r="V34" s="76">
        <f>VLOOKUP(U34,Aralıklar!$M$2:$O$6,3,1)</f>
        <v>50</v>
      </c>
      <c r="W34" s="40">
        <f>IF(X34=0,0,(T34+V34)*R34*VLOOKUP($W$2,'Kriter Ağırlık'!$A$1:$B$8,2,1)*E34)</f>
        <v>10</v>
      </c>
      <c r="X34" s="40">
        <f>IFERROR(VLOOKUP(A34,Devamsızlıklar!A:M,13,0),1)</f>
        <v>1</v>
      </c>
      <c r="Y34" s="40">
        <f>(OEE!$K$6*VLOOKUP($Y$2,'Kriter Ağırlık'!$A$1:$B$8,2,1))*X34*E34</f>
        <v>35</v>
      </c>
      <c r="Z34" s="40">
        <f>(TELEF!$I$10*VLOOKUP($Z$2,'Kriter Ağırlık'!$A$1:$B$8,2,1))*X34*E34</f>
        <v>15</v>
      </c>
      <c r="AA34" s="40">
        <f t="shared" si="2"/>
        <v>78</v>
      </c>
      <c r="AB34" s="76">
        <v>5</v>
      </c>
      <c r="AC34" s="76">
        <f>VLOOKUP(AB34,'Kriter Ağırlık'!$A$12:$C$17,3,0)</f>
        <v>18.5</v>
      </c>
      <c r="AD34" s="76">
        <v>4</v>
      </c>
      <c r="AE34" s="76">
        <f>VLOOKUP(AD34,'Kriter Ağırlık'!$E$12:$G$24,3,0)</f>
        <v>1.077</v>
      </c>
      <c r="AF34" s="92">
        <f t="shared" si="3"/>
        <v>1554.1109999999999</v>
      </c>
      <c r="AG34" t="str">
        <f>VLOOKUP(A34,'Çalışan Listesi'!A:G,6,0)</f>
        <v>OPERATÖR</v>
      </c>
    </row>
    <row r="35" spans="1:33" x14ac:dyDescent="0.2">
      <c r="A35" s="2">
        <v>149</v>
      </c>
      <c r="B35" s="3" t="s">
        <v>53</v>
      </c>
      <c r="C35" s="4">
        <v>35786</v>
      </c>
      <c r="D35" s="5">
        <f t="shared" si="5"/>
        <v>90</v>
      </c>
      <c r="E35" s="6">
        <f t="shared" si="1"/>
        <v>1</v>
      </c>
      <c r="F35" s="25" t="s">
        <v>422</v>
      </c>
      <c r="G35" s="3" t="s">
        <v>54</v>
      </c>
      <c r="H35" s="106" t="str">
        <f>VLOOKUP(A35,'Çalışan Listesi'!A:G,7,0)</f>
        <v>4.KADEME</v>
      </c>
      <c r="I35" s="65">
        <f>IFERROR(VLOOKUP(A35,'Kaizen Listesi'!A:H,8,0),0)</f>
        <v>0</v>
      </c>
      <c r="J35" s="65">
        <f>I35*VLOOKUP($I$2,'Kriter Ağırlık'!$A$1:$B$8,2,0)</f>
        <v>0</v>
      </c>
      <c r="K35" s="65">
        <f>IFERROR(VLOOKUP(A35,'Hata Kartı '!A:H,8,0),0)</f>
        <v>0</v>
      </c>
      <c r="L35" s="65">
        <f>K35*(VLOOKUP($K$2,'Kriter Ağırlık'!$A$1:$B$8,2,0))</f>
        <v>0</v>
      </c>
      <c r="M35" s="65">
        <f>IFERROR(VLOOKUP(F35,'5S'!$B$8:$E$19,4,0),0)</f>
        <v>1</v>
      </c>
      <c r="N35" s="65">
        <f>VLOOKUP(M35,'5S'!$G$8:$I$14,3,1)*VLOOKUP($M$2,'Kriter Ağırlık'!$A$1:$B$8,2,0)*E35*X35</f>
        <v>8</v>
      </c>
      <c r="O35" s="76">
        <f>IFERROR(VLOOKUP(A35,Devamsızlıklar!A:K,10,0),0)</f>
        <v>0</v>
      </c>
      <c r="P35" s="40">
        <f>VLOOKUP(O35,Aralıklar!$A$2:$C$5,3,1)*VLOOKUP($O$2,'Kriter Ağırlık'!$A$1:$B$8,2,0)*E35*X35</f>
        <v>10</v>
      </c>
      <c r="Q35" s="76">
        <f>IFERROR(VLOOKUP(A35,Devamsızlıklar!A:K,8,0),0)</f>
        <v>0</v>
      </c>
      <c r="R35" s="76">
        <f>VLOOKUP(Q35,Aralıklar!$E$2:$G$5,3,1)</f>
        <v>1</v>
      </c>
      <c r="S35" s="76">
        <f>IFERROR(VLOOKUP(A35,Devamsızlıklar!A:K,9,0),0)</f>
        <v>0</v>
      </c>
      <c r="T35" s="76">
        <f>VLOOKUP(S35,Aralıklar!$I$2:$K$6,3,1)</f>
        <v>50</v>
      </c>
      <c r="U35" s="76">
        <f>IFERROR(VLOOKUP(A35,Devamsızlıklar!A:K,11,0),0)</f>
        <v>0</v>
      </c>
      <c r="V35" s="76">
        <f>VLOOKUP(U35,Aralıklar!$M$2:$O$6,3,1)</f>
        <v>50</v>
      </c>
      <c r="W35" s="40">
        <f>IF(X35=0,0,(T35+V35)*R35*VLOOKUP($W$2,'Kriter Ağırlık'!$A$1:$B$8,2,1)*E35)</f>
        <v>10</v>
      </c>
      <c r="X35" s="40">
        <f>IFERROR(VLOOKUP(A35,Devamsızlıklar!A:M,13,0),1)</f>
        <v>1</v>
      </c>
      <c r="Y35" s="40">
        <f>(OEE!$K$6*VLOOKUP($Y$2,'Kriter Ağırlık'!$A$1:$B$8,2,1))*X35*E35</f>
        <v>35</v>
      </c>
      <c r="Z35" s="40">
        <f>(TELEF!$I$10*VLOOKUP($Z$2,'Kriter Ağırlık'!$A$1:$B$8,2,1))*X35*E35</f>
        <v>15</v>
      </c>
      <c r="AA35" s="40">
        <f t="shared" si="2"/>
        <v>78</v>
      </c>
      <c r="AB35" s="76">
        <v>5</v>
      </c>
      <c r="AC35" s="76">
        <f>VLOOKUP(AB35,'Kriter Ağırlık'!$A$12:$C$17,3,0)</f>
        <v>18.5</v>
      </c>
      <c r="AD35" s="76">
        <v>2</v>
      </c>
      <c r="AE35" s="76">
        <f>VLOOKUP(AD35,'Kriter Ağırlık'!$E$12:$G$24,3,0)</f>
        <v>1.232</v>
      </c>
      <c r="AF35" s="92">
        <f t="shared" si="3"/>
        <v>1777.7760000000001</v>
      </c>
      <c r="AG35" t="str">
        <f>VLOOKUP(A35,'Çalışan Listesi'!A:G,6,0)</f>
        <v>OPERATÖR</v>
      </c>
    </row>
    <row r="36" spans="1:33" x14ac:dyDescent="0.2">
      <c r="A36" s="2">
        <v>153</v>
      </c>
      <c r="B36" s="3" t="s">
        <v>55</v>
      </c>
      <c r="C36" s="4">
        <v>35836</v>
      </c>
      <c r="D36" s="5">
        <f t="shared" si="5"/>
        <v>90</v>
      </c>
      <c r="E36" s="6">
        <f t="shared" si="1"/>
        <v>1</v>
      </c>
      <c r="F36" s="25" t="s">
        <v>434</v>
      </c>
      <c r="G36" s="3" t="s">
        <v>56</v>
      </c>
      <c r="H36" s="106" t="str">
        <f>VLOOKUP(A36,'Çalışan Listesi'!A:G,7,0)</f>
        <v>SÜPERVİZÖR</v>
      </c>
      <c r="I36" s="65">
        <f>IFERROR(VLOOKUP(A36,'Kaizen Listesi'!A:H,8,0),0)</f>
        <v>0</v>
      </c>
      <c r="J36" s="65">
        <f>I36*VLOOKUP($I$2,'Kriter Ağırlık'!$A$1:$B$8,2,0)</f>
        <v>0</v>
      </c>
      <c r="K36" s="65">
        <f>IFERROR(VLOOKUP(A36,'Hata Kartı '!A:H,8,0),0)</f>
        <v>0</v>
      </c>
      <c r="L36" s="65">
        <f>K36*(VLOOKUP($K$2,'Kriter Ağırlık'!$A$1:$B$8,2,0))</f>
        <v>0</v>
      </c>
      <c r="M36" s="65">
        <f>IFERROR(VLOOKUP(F36,'5S'!$B$8:$E$19,4,0),0)</f>
        <v>0</v>
      </c>
      <c r="N36" s="65">
        <f>VLOOKUP(M36,'5S'!$G$8:$I$14,3,1)*VLOOKUP($M$2,'Kriter Ağırlık'!$A$1:$B$8,2,0)*E36*X36</f>
        <v>0</v>
      </c>
      <c r="O36" s="76">
        <f>IFERROR(VLOOKUP(A36,Devamsızlıklar!A:K,10,0),0)</f>
        <v>0</v>
      </c>
      <c r="P36" s="40">
        <f>VLOOKUP(O36,Aralıklar!$A$2:$C$5,3,1)*VLOOKUP($O$2,'Kriter Ağırlık'!$A$1:$B$8,2,0)*E36*X36</f>
        <v>10</v>
      </c>
      <c r="Q36" s="76">
        <f>IFERROR(VLOOKUP(A36,Devamsızlıklar!A:K,8,0),0)</f>
        <v>0</v>
      </c>
      <c r="R36" s="76">
        <f>VLOOKUP(Q36,Aralıklar!$E$2:$G$5,3,1)</f>
        <v>1</v>
      </c>
      <c r="S36" s="76">
        <f>IFERROR(VLOOKUP(A36,Devamsızlıklar!A:K,9,0),0)</f>
        <v>0</v>
      </c>
      <c r="T36" s="76">
        <f>VLOOKUP(S36,Aralıklar!$I$2:$K$6,3,1)</f>
        <v>50</v>
      </c>
      <c r="U36" s="76">
        <f>IFERROR(VLOOKUP(A36,Devamsızlıklar!A:K,11,0),0)</f>
        <v>0</v>
      </c>
      <c r="V36" s="76">
        <f>VLOOKUP(U36,Aralıklar!$M$2:$O$6,3,1)</f>
        <v>50</v>
      </c>
      <c r="W36" s="40">
        <f>IF(X36=0,0,(T36+V36)*R36*VLOOKUP($W$2,'Kriter Ağırlık'!$A$1:$B$8,2,1)*E36)</f>
        <v>10</v>
      </c>
      <c r="X36" s="40">
        <f>IFERROR(VLOOKUP(A36,Devamsızlıklar!A:M,13,0),1)</f>
        <v>1</v>
      </c>
      <c r="Y36" s="40">
        <f>(OEE!$K$6*VLOOKUP($Y$2,'Kriter Ağırlık'!$A$1:$B$8,2,1))*X36*E36</f>
        <v>35</v>
      </c>
      <c r="Z36" s="40">
        <f>(TELEF!$I$10*VLOOKUP($Z$2,'Kriter Ağırlık'!$A$1:$B$8,2,1))*X36*E36</f>
        <v>15</v>
      </c>
      <c r="AA36" s="40">
        <f t="shared" si="2"/>
        <v>70</v>
      </c>
      <c r="AB36" s="76">
        <v>2</v>
      </c>
      <c r="AC36" s="76">
        <f>VLOOKUP(AB36,'Kriter Ağırlık'!$A$12:$C$17,3,0)</f>
        <v>0</v>
      </c>
      <c r="AD36" s="76">
        <v>1</v>
      </c>
      <c r="AE36" s="76">
        <f>VLOOKUP(AD36,'Kriter Ağırlık'!$E$12:$G$24,3,0)</f>
        <v>1</v>
      </c>
      <c r="AF36" s="92">
        <f t="shared" si="3"/>
        <v>0</v>
      </c>
      <c r="AG36" t="str">
        <f>VLOOKUP(A36,'Çalışan Listesi'!A:G,6,0)</f>
        <v>GRUP LİDERİ</v>
      </c>
    </row>
    <row r="37" spans="1:33" x14ac:dyDescent="0.2">
      <c r="A37" s="2">
        <v>171</v>
      </c>
      <c r="B37" s="3" t="s">
        <v>57</v>
      </c>
      <c r="C37" s="4">
        <v>36255</v>
      </c>
      <c r="D37" s="5">
        <f t="shared" si="5"/>
        <v>90</v>
      </c>
      <c r="E37" s="6">
        <f t="shared" si="1"/>
        <v>1</v>
      </c>
      <c r="F37" s="25" t="s">
        <v>422</v>
      </c>
      <c r="G37" s="3" t="s">
        <v>54</v>
      </c>
      <c r="H37" s="106" t="str">
        <f>VLOOKUP(A37,'Çalışan Listesi'!A:G,7,0)</f>
        <v>4.KADEME</v>
      </c>
      <c r="I37" s="65">
        <f>IFERROR(VLOOKUP(A37,'Kaizen Listesi'!A:H,8,0),0)</f>
        <v>0</v>
      </c>
      <c r="J37" s="65">
        <f>I37*VLOOKUP($I$2,'Kriter Ağırlık'!$A$1:$B$8,2,0)</f>
        <v>0</v>
      </c>
      <c r="K37" s="65">
        <f>IFERROR(VLOOKUP(A37,'Hata Kartı '!A:H,8,0),0)</f>
        <v>0</v>
      </c>
      <c r="L37" s="65">
        <f>K37*(VLOOKUP($K$2,'Kriter Ağırlık'!$A$1:$B$8,2,0))</f>
        <v>0</v>
      </c>
      <c r="M37" s="65">
        <f>IFERROR(VLOOKUP(F37,'5S'!$B$8:$E$19,4,0),0)</f>
        <v>1</v>
      </c>
      <c r="N37" s="65">
        <f>VLOOKUP(M37,'5S'!$G$8:$I$14,3,1)*VLOOKUP($M$2,'Kriter Ağırlık'!$A$1:$B$8,2,0)*E37*X37</f>
        <v>8</v>
      </c>
      <c r="O37" s="76">
        <f>IFERROR(VLOOKUP(A37,Devamsızlıklar!A:K,10,0),0)</f>
        <v>0</v>
      </c>
      <c r="P37" s="40">
        <f>VLOOKUP(O37,Aralıklar!$A$2:$C$5,3,1)*VLOOKUP($O$2,'Kriter Ağırlık'!$A$1:$B$8,2,0)*E37*X37</f>
        <v>10</v>
      </c>
      <c r="Q37" s="76">
        <f>IFERROR(VLOOKUP(A37,Devamsızlıklar!A:K,8,0),0)</f>
        <v>0</v>
      </c>
      <c r="R37" s="76">
        <f>VLOOKUP(Q37,Aralıklar!$E$2:$G$5,3,1)</f>
        <v>1</v>
      </c>
      <c r="S37" s="76">
        <f>IFERROR(VLOOKUP(A37,Devamsızlıklar!A:K,9,0),0)</f>
        <v>0</v>
      </c>
      <c r="T37" s="76">
        <f>VLOOKUP(S37,Aralıklar!$I$2:$K$6,3,1)</f>
        <v>50</v>
      </c>
      <c r="U37" s="76">
        <f>IFERROR(VLOOKUP(A37,Devamsızlıklar!A:K,11,0),0)</f>
        <v>0</v>
      </c>
      <c r="V37" s="76">
        <f>VLOOKUP(U37,Aralıklar!$M$2:$O$6,3,1)</f>
        <v>50</v>
      </c>
      <c r="W37" s="40">
        <f>IF(X37=0,0,(T37+V37)*R37*VLOOKUP($W$2,'Kriter Ağırlık'!$A$1:$B$8,2,1)*E37)</f>
        <v>10</v>
      </c>
      <c r="X37" s="40">
        <f>IFERROR(VLOOKUP(A37,Devamsızlıklar!A:M,13,0),1)</f>
        <v>1</v>
      </c>
      <c r="Y37" s="40">
        <f>(OEE!$K$6*VLOOKUP($Y$2,'Kriter Ağırlık'!$A$1:$B$8,2,1))*X37*E37</f>
        <v>35</v>
      </c>
      <c r="Z37" s="40">
        <f>(TELEF!$I$10*VLOOKUP($Z$2,'Kriter Ağırlık'!$A$1:$B$8,2,1))*X37*E37</f>
        <v>15</v>
      </c>
      <c r="AA37" s="40">
        <f t="shared" si="2"/>
        <v>78</v>
      </c>
      <c r="AB37" s="76">
        <v>5</v>
      </c>
      <c r="AC37" s="76">
        <f>VLOOKUP(AB37,'Kriter Ağırlık'!$A$12:$C$17,3,0)</f>
        <v>18.5</v>
      </c>
      <c r="AD37" s="76">
        <v>2</v>
      </c>
      <c r="AE37" s="76">
        <f>VLOOKUP(AD37,'Kriter Ağırlık'!$E$12:$G$24,3,0)</f>
        <v>1.232</v>
      </c>
      <c r="AF37" s="92">
        <f t="shared" si="3"/>
        <v>1777.7760000000001</v>
      </c>
      <c r="AG37" t="str">
        <f>VLOOKUP(A37,'Çalışan Listesi'!A:G,6,0)</f>
        <v>OPERATÖR</v>
      </c>
    </row>
    <row r="38" spans="1:33" x14ac:dyDescent="0.2">
      <c r="A38" s="2">
        <v>215</v>
      </c>
      <c r="B38" s="3" t="s">
        <v>58</v>
      </c>
      <c r="C38" s="4">
        <v>36746</v>
      </c>
      <c r="D38" s="5">
        <f t="shared" si="5"/>
        <v>90</v>
      </c>
      <c r="E38" s="6">
        <f t="shared" si="1"/>
        <v>1</v>
      </c>
      <c r="F38" s="25" t="s">
        <v>421</v>
      </c>
      <c r="G38" s="3" t="s">
        <v>59</v>
      </c>
      <c r="H38" s="106" t="str">
        <f>VLOOKUP(A38,'Çalışan Listesi'!A:G,7,0)</f>
        <v>SÜPERVİZÖR</v>
      </c>
      <c r="I38" s="65">
        <f>IFERROR(VLOOKUP(A38,'Kaizen Listesi'!A:H,8,0),0)</f>
        <v>33.333333333333336</v>
      </c>
      <c r="J38" s="65">
        <f>I38*VLOOKUP($I$2,'Kriter Ağırlık'!$A$1:$B$8,2,0)</f>
        <v>4</v>
      </c>
      <c r="K38" s="65">
        <f>IFERROR(VLOOKUP(A38,'Hata Kartı '!A:H,8,0),0)</f>
        <v>16.666666666666668</v>
      </c>
      <c r="L38" s="65">
        <f>K38*(VLOOKUP($K$2,'Kriter Ağırlık'!$A$1:$B$8,2,0))</f>
        <v>1.666666666666667</v>
      </c>
      <c r="M38" s="65">
        <f>IFERROR(VLOOKUP(F38,'5S'!$B$8:$E$19,4,0),0)</f>
        <v>1</v>
      </c>
      <c r="N38" s="65">
        <f>VLOOKUP(M38,'5S'!$G$8:$I$14,3,1)*VLOOKUP($M$2,'Kriter Ağırlık'!$A$1:$B$8,2,0)*E38*X38</f>
        <v>8</v>
      </c>
      <c r="O38" s="76">
        <f>IFERROR(VLOOKUP(A38,Devamsızlıklar!A:K,10,0),0)</f>
        <v>0</v>
      </c>
      <c r="P38" s="40">
        <f>VLOOKUP(O38,Aralıklar!$A$2:$C$5,3,1)*VLOOKUP($O$2,'Kriter Ağırlık'!$A$1:$B$8,2,0)*E38*X38</f>
        <v>10</v>
      </c>
      <c r="Q38" s="76">
        <f>IFERROR(VLOOKUP(A38,Devamsızlıklar!A:K,8,0),0)</f>
        <v>0</v>
      </c>
      <c r="R38" s="76">
        <f>VLOOKUP(Q38,Aralıklar!$E$2:$G$5,3,1)</f>
        <v>1</v>
      </c>
      <c r="S38" s="76">
        <f>IFERROR(VLOOKUP(A38,Devamsızlıklar!A:K,9,0),0)</f>
        <v>0</v>
      </c>
      <c r="T38" s="76">
        <f>VLOOKUP(S38,Aralıklar!$I$2:$K$6,3,1)</f>
        <v>50</v>
      </c>
      <c r="U38" s="76">
        <f>IFERROR(VLOOKUP(A38,Devamsızlıklar!A:K,11,0),0)</f>
        <v>0</v>
      </c>
      <c r="V38" s="76">
        <f>VLOOKUP(U38,Aralıklar!$M$2:$O$6,3,1)</f>
        <v>50</v>
      </c>
      <c r="W38" s="40">
        <f>IF(X38=0,0,(T38+V38)*R38*VLOOKUP($W$2,'Kriter Ağırlık'!$A$1:$B$8,2,1)*E38)</f>
        <v>10</v>
      </c>
      <c r="X38" s="40">
        <f>IFERROR(VLOOKUP(A38,Devamsızlıklar!A:M,13,0),1)</f>
        <v>1</v>
      </c>
      <c r="Y38" s="40">
        <f>(OEE!$K$6*VLOOKUP($Y$2,'Kriter Ağırlık'!$A$1:$B$8,2,1))*X38*E38</f>
        <v>35</v>
      </c>
      <c r="Z38" s="40">
        <f>(TELEF!$I$10*VLOOKUP($Z$2,'Kriter Ağırlık'!$A$1:$B$8,2,1))*X38*E38</f>
        <v>15</v>
      </c>
      <c r="AA38" s="40">
        <f t="shared" si="2"/>
        <v>83.666666666666671</v>
      </c>
      <c r="AB38" s="76">
        <v>2</v>
      </c>
      <c r="AC38" s="76">
        <f>VLOOKUP(AB38,'Kriter Ağırlık'!$A$12:$C$17,3,0)</f>
        <v>0</v>
      </c>
      <c r="AD38" s="76">
        <v>1</v>
      </c>
      <c r="AE38" s="76">
        <f>VLOOKUP(AD38,'Kriter Ağırlık'!$E$12:$G$24,3,0)</f>
        <v>1</v>
      </c>
      <c r="AF38" s="92">
        <f t="shared" si="3"/>
        <v>0</v>
      </c>
      <c r="AG38" t="str">
        <f>VLOOKUP(A38,'Çalışan Listesi'!A:G,6,0)</f>
        <v>GRUP LİDERİ</v>
      </c>
    </row>
    <row r="39" spans="1:33" x14ac:dyDescent="0.2">
      <c r="A39" s="2">
        <v>218</v>
      </c>
      <c r="B39" s="3" t="s">
        <v>60</v>
      </c>
      <c r="C39" s="4">
        <v>41099</v>
      </c>
      <c r="D39" s="5">
        <f t="shared" si="5"/>
        <v>90</v>
      </c>
      <c r="E39" s="6">
        <f t="shared" si="1"/>
        <v>1</v>
      </c>
      <c r="F39" s="25" t="s">
        <v>421</v>
      </c>
      <c r="G39" s="3" t="s">
        <v>61</v>
      </c>
      <c r="H39" s="106" t="str">
        <f>VLOOKUP(A39,'Çalışan Listesi'!A:G,7,0)</f>
        <v>3.KADEME</v>
      </c>
      <c r="I39" s="65">
        <f>IFERROR(VLOOKUP(A39,'Kaizen Listesi'!A:H,8,0),0)</f>
        <v>0</v>
      </c>
      <c r="J39" s="65">
        <f>I39*VLOOKUP($I$2,'Kriter Ağırlık'!$A$1:$B$8,2,0)</f>
        <v>0</v>
      </c>
      <c r="K39" s="65">
        <f>IFERROR(VLOOKUP(A39,'Hata Kartı '!A:H,8,0),0)</f>
        <v>100</v>
      </c>
      <c r="L39" s="65">
        <f>K39*(VLOOKUP($K$2,'Kriter Ağırlık'!$A$1:$B$8,2,0))</f>
        <v>10</v>
      </c>
      <c r="M39" s="65">
        <f>IFERROR(VLOOKUP(F39,'5S'!$B$8:$E$19,4,0),0)</f>
        <v>1</v>
      </c>
      <c r="N39" s="65">
        <f>VLOOKUP(M39,'5S'!$G$8:$I$14,3,1)*VLOOKUP($M$2,'Kriter Ağırlık'!$A$1:$B$8,2,0)*E39*X39</f>
        <v>8</v>
      </c>
      <c r="O39" s="76">
        <f>IFERROR(VLOOKUP(A39,Devamsızlıklar!A:K,10,0),0)</f>
        <v>0</v>
      </c>
      <c r="P39" s="40">
        <f>VLOOKUP(O39,Aralıklar!$A$2:$C$5,3,1)*VLOOKUP($O$2,'Kriter Ağırlık'!$A$1:$B$8,2,0)*E39*X39</f>
        <v>10</v>
      </c>
      <c r="Q39" s="76">
        <f>IFERROR(VLOOKUP(A39,Devamsızlıklar!A:K,8,0),0)</f>
        <v>0</v>
      </c>
      <c r="R39" s="76">
        <f>VLOOKUP(Q39,Aralıklar!$E$2:$G$5,3,1)</f>
        <v>1</v>
      </c>
      <c r="S39" s="76">
        <f>IFERROR(VLOOKUP(A39,Devamsızlıklar!A:K,9,0),0)</f>
        <v>0</v>
      </c>
      <c r="T39" s="76">
        <f>VLOOKUP(S39,Aralıklar!$I$2:$K$6,3,1)</f>
        <v>50</v>
      </c>
      <c r="U39" s="76">
        <f>IFERROR(VLOOKUP(A39,Devamsızlıklar!A:K,11,0),0)</f>
        <v>0</v>
      </c>
      <c r="V39" s="76">
        <f>VLOOKUP(U39,Aralıklar!$M$2:$O$6,3,1)</f>
        <v>50</v>
      </c>
      <c r="W39" s="40">
        <f>IF(X39=0,0,(T39+V39)*R39*VLOOKUP($W$2,'Kriter Ağırlık'!$A$1:$B$8,2,1)*E39)</f>
        <v>10</v>
      </c>
      <c r="X39" s="40">
        <f>IFERROR(VLOOKUP(A39,Devamsızlıklar!A:M,13,0),1)</f>
        <v>1</v>
      </c>
      <c r="Y39" s="40">
        <f>(OEE!$K$6*VLOOKUP($Y$2,'Kriter Ağırlık'!$A$1:$B$8,2,1))*X39*E39</f>
        <v>35</v>
      </c>
      <c r="Z39" s="40">
        <f>(TELEF!$I$10*VLOOKUP($Z$2,'Kriter Ağırlık'!$A$1:$B$8,2,1))*X39*E39</f>
        <v>15</v>
      </c>
      <c r="AA39" s="40">
        <f t="shared" si="2"/>
        <v>88</v>
      </c>
      <c r="AB39" s="76">
        <v>5</v>
      </c>
      <c r="AC39" s="76">
        <f>VLOOKUP(AB39,'Kriter Ağırlık'!$A$12:$C$17,3,0)</f>
        <v>18.5</v>
      </c>
      <c r="AD39" s="76">
        <v>3</v>
      </c>
      <c r="AE39" s="76">
        <f>VLOOKUP(AD39,'Kriter Ağırlık'!$E$12:$G$24,3,0)</f>
        <v>1.1499999999999999</v>
      </c>
      <c r="AF39" s="92">
        <f t="shared" si="3"/>
        <v>1872.1999999999998</v>
      </c>
      <c r="AG39" t="str">
        <f>VLOOKUP(A39,'Çalışan Listesi'!A:G,6,0)</f>
        <v>OPERATÖR</v>
      </c>
    </row>
    <row r="40" spans="1:33" x14ac:dyDescent="0.2">
      <c r="A40" s="2">
        <v>219</v>
      </c>
      <c r="B40" s="3" t="s">
        <v>62</v>
      </c>
      <c r="C40" s="4">
        <v>36780</v>
      </c>
      <c r="D40" s="5">
        <f t="shared" si="5"/>
        <v>90</v>
      </c>
      <c r="E40" s="6">
        <f t="shared" si="1"/>
        <v>1</v>
      </c>
      <c r="F40" s="25" t="s">
        <v>421</v>
      </c>
      <c r="G40" s="3" t="s">
        <v>10</v>
      </c>
      <c r="H40" s="106" t="str">
        <f>VLOOKUP(A40,'Çalışan Listesi'!A:G,7,0)</f>
        <v>3.KADEME</v>
      </c>
      <c r="I40" s="65">
        <f>IFERROR(VLOOKUP(A40,'Kaizen Listesi'!A:H,8,0),0)</f>
        <v>33.333333333333336</v>
      </c>
      <c r="J40" s="65">
        <f>I40*VLOOKUP($I$2,'Kriter Ağırlık'!$A$1:$B$8,2,0)</f>
        <v>4</v>
      </c>
      <c r="K40" s="65">
        <f>IFERROR(VLOOKUP(A40,'Hata Kartı '!A:H,8,0),0)</f>
        <v>16.666666666666668</v>
      </c>
      <c r="L40" s="65">
        <f>K40*(VLOOKUP($K$2,'Kriter Ağırlık'!$A$1:$B$8,2,0))</f>
        <v>1.666666666666667</v>
      </c>
      <c r="M40" s="65">
        <f>IFERROR(VLOOKUP(F40,'5S'!$B$8:$E$19,4,0),0)</f>
        <v>1</v>
      </c>
      <c r="N40" s="65">
        <f>VLOOKUP(M40,'5S'!$G$8:$I$14,3,1)*VLOOKUP($M$2,'Kriter Ağırlık'!$A$1:$B$8,2,0)*E40*X40</f>
        <v>8</v>
      </c>
      <c r="O40" s="76">
        <f>IFERROR(VLOOKUP(A40,Devamsızlıklar!A:K,10,0),0)</f>
        <v>0</v>
      </c>
      <c r="P40" s="40">
        <f>VLOOKUP(O40,Aralıklar!$A$2:$C$5,3,1)*VLOOKUP($O$2,'Kriter Ağırlık'!$A$1:$B$8,2,0)*E40*X40</f>
        <v>10</v>
      </c>
      <c r="Q40" s="76">
        <f>IFERROR(VLOOKUP(A40,Devamsızlıklar!A:K,8,0),0)</f>
        <v>0</v>
      </c>
      <c r="R40" s="76">
        <f>VLOOKUP(Q40,Aralıklar!$E$2:$G$5,3,1)</f>
        <v>1</v>
      </c>
      <c r="S40" s="76">
        <f>IFERROR(VLOOKUP(A40,Devamsızlıklar!A:K,9,0),0)</f>
        <v>0</v>
      </c>
      <c r="T40" s="76">
        <f>VLOOKUP(S40,Aralıklar!$I$2:$K$6,3,1)</f>
        <v>50</v>
      </c>
      <c r="U40" s="76">
        <f>IFERROR(VLOOKUP(A40,Devamsızlıklar!A:K,11,0),0)</f>
        <v>0</v>
      </c>
      <c r="V40" s="76">
        <f>VLOOKUP(U40,Aralıklar!$M$2:$O$6,3,1)</f>
        <v>50</v>
      </c>
      <c r="W40" s="40">
        <f>IF(X40=0,0,(T40+V40)*R40*VLOOKUP($W$2,'Kriter Ağırlık'!$A$1:$B$8,2,1)*E40)</f>
        <v>10</v>
      </c>
      <c r="X40" s="40">
        <f>IFERROR(VLOOKUP(A40,Devamsızlıklar!A:M,13,0),1)</f>
        <v>1</v>
      </c>
      <c r="Y40" s="40">
        <f>(OEE!$K$6*VLOOKUP($Y$2,'Kriter Ağırlık'!$A$1:$B$8,2,1))*X40*E40</f>
        <v>35</v>
      </c>
      <c r="Z40" s="40">
        <f>(TELEF!$I$10*VLOOKUP($Z$2,'Kriter Ağırlık'!$A$1:$B$8,2,1))*X40*E40</f>
        <v>15</v>
      </c>
      <c r="AA40" s="40">
        <f t="shared" si="2"/>
        <v>83.666666666666671</v>
      </c>
      <c r="AB40" s="76">
        <v>5</v>
      </c>
      <c r="AC40" s="76">
        <f>VLOOKUP(AB40,'Kriter Ağırlık'!$A$12:$C$17,3,0)</f>
        <v>18.5</v>
      </c>
      <c r="AD40" s="76">
        <v>3</v>
      </c>
      <c r="AE40" s="76">
        <f>VLOOKUP(AD40,'Kriter Ağırlık'!$E$12:$G$24,3,0)</f>
        <v>1.1499999999999999</v>
      </c>
      <c r="AF40" s="92">
        <f t="shared" si="3"/>
        <v>1780.0083333333334</v>
      </c>
      <c r="AG40" t="str">
        <f>VLOOKUP(A40,'Çalışan Listesi'!A:G,6,0)</f>
        <v>OPERATÖR</v>
      </c>
    </row>
    <row r="41" spans="1:33" s="122" customFormat="1" x14ac:dyDescent="0.2">
      <c r="A41" s="112">
        <v>225</v>
      </c>
      <c r="B41" s="113" t="s">
        <v>63</v>
      </c>
      <c r="C41" s="114">
        <v>36829</v>
      </c>
      <c r="D41" s="115">
        <v>60</v>
      </c>
      <c r="E41" s="116">
        <f t="shared" si="1"/>
        <v>0.66666666666666663</v>
      </c>
      <c r="F41" s="135" t="s">
        <v>548</v>
      </c>
      <c r="G41" s="113" t="s">
        <v>64</v>
      </c>
      <c r="H41" s="118" t="str">
        <f>VLOOKUP(A41,'Çalışan Listesi'!A:G,7,0)</f>
        <v>4.KADEME</v>
      </c>
      <c r="I41" s="119">
        <f>IFERROR(VLOOKUP(A41,'Kaizen Listesi'!A:H,8,0),0)</f>
        <v>0</v>
      </c>
      <c r="J41" s="119">
        <f>I41*VLOOKUP($I$2,'Kriter Ağırlık'!$A$1:$B$8,2,0)</f>
        <v>0</v>
      </c>
      <c r="K41" s="119">
        <f>IFERROR(VLOOKUP(A41,'Hata Kartı '!A:H,8,0),0)</f>
        <v>75</v>
      </c>
      <c r="L41" s="119">
        <f>K41*(VLOOKUP($K$2,'Kriter Ağırlık'!$A$1:$B$8,2,0))</f>
        <v>7.5</v>
      </c>
      <c r="M41" s="119">
        <f>IFERROR(VLOOKUP(F41,'5S'!$B$8:$E$19,4,0),0)</f>
        <v>0</v>
      </c>
      <c r="N41" s="119">
        <f>VLOOKUP(M41,'5S'!$G$8:$I$14,3,1)*VLOOKUP($M$2,'Kriter Ağırlık'!$A$1:$B$8,2,0)*E41*X41</f>
        <v>0</v>
      </c>
      <c r="O41" s="118">
        <f>IFERROR(VLOOKUP(A41,Devamsızlıklar!A:K,10,0),0)</f>
        <v>0</v>
      </c>
      <c r="P41" s="120">
        <f>VLOOKUP(O41,Aralıklar!$A$2:$C$5,3,1)*VLOOKUP($O$2,'Kriter Ağırlık'!$A$1:$B$8,2,0)*E41*X41</f>
        <v>6.6666666666666661</v>
      </c>
      <c r="Q41" s="76">
        <f>IFERROR(VLOOKUP(A41,Devamsızlıklar!A:K,8,0),0)</f>
        <v>0</v>
      </c>
      <c r="R41" s="76">
        <f>VLOOKUP(Q41,Aralıklar!$E$2:$G$5,3,1)</f>
        <v>1</v>
      </c>
      <c r="S41" s="76">
        <f>IFERROR(VLOOKUP(A41,Devamsızlıklar!A:K,9,0),0)</f>
        <v>0</v>
      </c>
      <c r="T41" s="76">
        <f>VLOOKUP(S41,Aralıklar!$I$2:$K$6,3,1)</f>
        <v>50</v>
      </c>
      <c r="U41" s="76">
        <f>IFERROR(VLOOKUP(A41,Devamsızlıklar!A:K,11,0),0)</f>
        <v>0</v>
      </c>
      <c r="V41" s="76">
        <f>VLOOKUP(U41,Aralıklar!$M$2:$O$6,3,1)</f>
        <v>50</v>
      </c>
      <c r="W41" s="120">
        <f>IF(X41=0,0,(T41+V41)*R41*VLOOKUP($W$2,'Kriter Ağırlık'!$A$1:$B$8,2,1)*E41)</f>
        <v>6.6666666666666661</v>
      </c>
      <c r="X41" s="120">
        <f>IFERROR(VLOOKUP(A41,Devamsızlıklar!A:M,13,0),1)</f>
        <v>1</v>
      </c>
      <c r="Y41" s="120">
        <f>(OEE!$K$6*VLOOKUP($Y$2,'Kriter Ağırlık'!$A$1:$B$8,2,1))*X41*E41</f>
        <v>23.333333333333332</v>
      </c>
      <c r="Z41" s="120">
        <f>(TELEF!$I$10*VLOOKUP($Z$2,'Kriter Ağırlık'!$A$1:$B$8,2,1))*X41*E41</f>
        <v>10</v>
      </c>
      <c r="AA41" s="120">
        <f t="shared" si="2"/>
        <v>54.166666666666664</v>
      </c>
      <c r="AB41" s="118">
        <v>4</v>
      </c>
      <c r="AC41" s="118">
        <f>VLOOKUP(AB41,'Kriter Ağırlık'!$A$12:$C$17,3,0)</f>
        <v>13.5</v>
      </c>
      <c r="AD41" s="118">
        <v>2</v>
      </c>
      <c r="AE41" s="118">
        <f>VLOOKUP(AD41,'Kriter Ağırlık'!$E$12:$G$24,3,0)</f>
        <v>1.232</v>
      </c>
      <c r="AF41" s="121">
        <f t="shared" si="3"/>
        <v>900.9</v>
      </c>
      <c r="AG41" s="122" t="str">
        <f>VLOOKUP(A41,'Çalışan Listesi'!A:G,6,0)</f>
        <v>TAKIM LİDERİ</v>
      </c>
    </row>
    <row r="42" spans="1:33" x14ac:dyDescent="0.2">
      <c r="A42" s="2">
        <v>227</v>
      </c>
      <c r="B42" s="3" t="s">
        <v>65</v>
      </c>
      <c r="C42" s="4">
        <v>36829</v>
      </c>
      <c r="D42" s="5">
        <f t="shared" ref="D42:D73" si="6">IF($AI$2-C42&gt;=90,90,$AI$2-C42)</f>
        <v>90</v>
      </c>
      <c r="E42" s="6">
        <f t="shared" si="1"/>
        <v>1</v>
      </c>
      <c r="F42" s="25" t="s">
        <v>421</v>
      </c>
      <c r="G42" s="3" t="s">
        <v>10</v>
      </c>
      <c r="H42" s="106" t="str">
        <f>VLOOKUP(A42,'Çalışan Listesi'!A:G,7,0)</f>
        <v>3.KADEME</v>
      </c>
      <c r="I42" s="65">
        <f>IFERROR(VLOOKUP(A42,'Kaizen Listesi'!A:H,8,0),0)</f>
        <v>0</v>
      </c>
      <c r="J42" s="65">
        <f>I42*VLOOKUP($I$2,'Kriter Ağırlık'!$A$1:$B$8,2,0)</f>
        <v>0</v>
      </c>
      <c r="K42" s="65">
        <f>IFERROR(VLOOKUP(A42,'Hata Kartı '!A:H,8,0),0)</f>
        <v>50</v>
      </c>
      <c r="L42" s="65">
        <f>K42*(VLOOKUP($K$2,'Kriter Ağırlık'!$A$1:$B$8,2,0))</f>
        <v>5</v>
      </c>
      <c r="M42" s="65">
        <f>IFERROR(VLOOKUP(F42,'5S'!$B$8:$E$19,4,0),0)</f>
        <v>1</v>
      </c>
      <c r="N42" s="65">
        <f>VLOOKUP(M42,'5S'!$G$8:$I$14,3,1)*VLOOKUP($M$2,'Kriter Ağırlık'!$A$1:$B$8,2,0)*E42*X42</f>
        <v>8</v>
      </c>
      <c r="O42" s="76">
        <f>IFERROR(VLOOKUP(A42,Devamsızlıklar!A:K,10,0),0)</f>
        <v>0</v>
      </c>
      <c r="P42" s="40">
        <f>VLOOKUP(O42,Aralıklar!$A$2:$C$5,3,1)*VLOOKUP($O$2,'Kriter Ağırlık'!$A$1:$B$8,2,0)*E42*X42</f>
        <v>10</v>
      </c>
      <c r="Q42" s="76">
        <f>IFERROR(VLOOKUP(A42,Devamsızlıklar!A:K,8,0),0)</f>
        <v>0</v>
      </c>
      <c r="R42" s="76">
        <f>VLOOKUP(Q42,Aralıklar!$E$2:$G$5,3,1)</f>
        <v>1</v>
      </c>
      <c r="S42" s="76">
        <f>IFERROR(VLOOKUP(A42,Devamsızlıklar!A:K,9,0),0)</f>
        <v>0</v>
      </c>
      <c r="T42" s="76">
        <f>VLOOKUP(S42,Aralıklar!$I$2:$K$6,3,1)</f>
        <v>50</v>
      </c>
      <c r="U42" s="76">
        <f>IFERROR(VLOOKUP(A42,Devamsızlıklar!A:K,11,0),0)</f>
        <v>0</v>
      </c>
      <c r="V42" s="76">
        <f>VLOOKUP(U42,Aralıklar!$M$2:$O$6,3,1)</f>
        <v>50</v>
      </c>
      <c r="W42" s="40">
        <f>IF(X42=0,0,(T42+V42)*R42*VLOOKUP($W$2,'Kriter Ağırlık'!$A$1:$B$8,2,1)*E42)</f>
        <v>10</v>
      </c>
      <c r="X42" s="40">
        <f>IFERROR(VLOOKUP(A42,Devamsızlıklar!A:M,13,0),1)</f>
        <v>1</v>
      </c>
      <c r="Y42" s="40">
        <f>(OEE!$K$6*VLOOKUP($Y$2,'Kriter Ağırlık'!$A$1:$B$8,2,1))*X42*E42</f>
        <v>35</v>
      </c>
      <c r="Z42" s="40">
        <f>(TELEF!$I$10*VLOOKUP($Z$2,'Kriter Ağırlık'!$A$1:$B$8,2,1))*X42*E42</f>
        <v>15</v>
      </c>
      <c r="AA42" s="40">
        <f t="shared" si="2"/>
        <v>83</v>
      </c>
      <c r="AB42" s="76">
        <v>5</v>
      </c>
      <c r="AC42" s="76">
        <f>VLOOKUP(AB42,'Kriter Ağırlık'!$A$12:$C$17,3,0)</f>
        <v>18.5</v>
      </c>
      <c r="AD42" s="76">
        <v>3</v>
      </c>
      <c r="AE42" s="76">
        <f>VLOOKUP(AD42,'Kriter Ağırlık'!$E$12:$G$24,3,0)</f>
        <v>1.1499999999999999</v>
      </c>
      <c r="AF42" s="92">
        <f t="shared" si="3"/>
        <v>1765.8249999999998</v>
      </c>
      <c r="AG42" t="str">
        <f>VLOOKUP(A42,'Çalışan Listesi'!A:G,6,0)</f>
        <v>OPERATÖR</v>
      </c>
    </row>
    <row r="43" spans="1:33" x14ac:dyDescent="0.2">
      <c r="A43" s="2">
        <v>230</v>
      </c>
      <c r="B43" s="3" t="s">
        <v>66</v>
      </c>
      <c r="C43" s="4">
        <v>36831</v>
      </c>
      <c r="D43" s="5">
        <f t="shared" si="6"/>
        <v>90</v>
      </c>
      <c r="E43" s="6">
        <f t="shared" si="1"/>
        <v>1</v>
      </c>
      <c r="F43" s="25" t="s">
        <v>434</v>
      </c>
      <c r="G43" s="3" t="s">
        <v>56</v>
      </c>
      <c r="H43" s="106" t="str">
        <f>VLOOKUP(A43,'Çalışan Listesi'!A:G,7,0)</f>
        <v>SÜPERVİZÖR</v>
      </c>
      <c r="I43" s="65">
        <f>IFERROR(VLOOKUP(A43,'Kaizen Listesi'!A:H,8,0),0)</f>
        <v>0</v>
      </c>
      <c r="J43" s="65">
        <f>I43*VLOOKUP($I$2,'Kriter Ağırlık'!$A$1:$B$8,2,0)</f>
        <v>0</v>
      </c>
      <c r="K43" s="65">
        <f>IFERROR(VLOOKUP(A43,'Hata Kartı '!A:H,8,0),0)</f>
        <v>0</v>
      </c>
      <c r="L43" s="65">
        <f>K43*(VLOOKUP($K$2,'Kriter Ağırlık'!$A$1:$B$8,2,0))</f>
        <v>0</v>
      </c>
      <c r="M43" s="65">
        <f>IFERROR(VLOOKUP(F43,'5S'!$B$8:$E$19,4,0),0)</f>
        <v>0</v>
      </c>
      <c r="N43" s="65">
        <f>VLOOKUP(M43,'5S'!$G$8:$I$14,3,1)*VLOOKUP($M$2,'Kriter Ağırlık'!$A$1:$B$8,2,0)*E43*X43</f>
        <v>0</v>
      </c>
      <c r="O43" s="76">
        <f>IFERROR(VLOOKUP(A43,Devamsızlıklar!A:K,10,0),0)</f>
        <v>0</v>
      </c>
      <c r="P43" s="40">
        <f>VLOOKUP(O43,Aralıklar!$A$2:$C$5,3,1)*VLOOKUP($O$2,'Kriter Ağırlık'!$A$1:$B$8,2,0)*E43*X43</f>
        <v>10</v>
      </c>
      <c r="Q43" s="76">
        <f>IFERROR(VLOOKUP(A43,Devamsızlıklar!A:K,8,0),0)</f>
        <v>0</v>
      </c>
      <c r="R43" s="76">
        <f>VLOOKUP(Q43,Aralıklar!$E$2:$G$5,3,1)</f>
        <v>1</v>
      </c>
      <c r="S43" s="76">
        <f>IFERROR(VLOOKUP(A43,Devamsızlıklar!A:K,9,0),0)</f>
        <v>0</v>
      </c>
      <c r="T43" s="76">
        <f>VLOOKUP(S43,Aralıklar!$I$2:$K$6,3,1)</f>
        <v>50</v>
      </c>
      <c r="U43" s="76">
        <f>IFERROR(VLOOKUP(A43,Devamsızlıklar!A:K,11,0),0)</f>
        <v>0</v>
      </c>
      <c r="V43" s="76">
        <f>VLOOKUP(U43,Aralıklar!$M$2:$O$6,3,1)</f>
        <v>50</v>
      </c>
      <c r="W43" s="40">
        <f>IF(X43=0,0,(T43+V43)*R43*VLOOKUP($W$2,'Kriter Ağırlık'!$A$1:$B$8,2,1)*E43)</f>
        <v>10</v>
      </c>
      <c r="X43" s="40">
        <f>IFERROR(VLOOKUP(A43,Devamsızlıklar!A:M,13,0),1)</f>
        <v>1</v>
      </c>
      <c r="Y43" s="40">
        <f>(OEE!$K$6*VLOOKUP($Y$2,'Kriter Ağırlık'!$A$1:$B$8,2,1))*X43*E43</f>
        <v>35</v>
      </c>
      <c r="Z43" s="40">
        <f>(TELEF!$I$10*VLOOKUP($Z$2,'Kriter Ağırlık'!$A$1:$B$8,2,1))*X43*E43</f>
        <v>15</v>
      </c>
      <c r="AA43" s="40">
        <f t="shared" si="2"/>
        <v>70</v>
      </c>
      <c r="AB43" s="76">
        <v>2</v>
      </c>
      <c r="AC43" s="76">
        <f>VLOOKUP(AB43,'Kriter Ağırlık'!$A$12:$C$17,3,0)</f>
        <v>0</v>
      </c>
      <c r="AD43" s="76">
        <v>1</v>
      </c>
      <c r="AE43" s="76">
        <f>VLOOKUP(AD43,'Kriter Ağırlık'!$E$12:$G$24,3,0)</f>
        <v>1</v>
      </c>
      <c r="AF43" s="92">
        <f t="shared" si="3"/>
        <v>0</v>
      </c>
      <c r="AG43" t="str">
        <f>VLOOKUP(A43,'Çalışan Listesi'!A:G,6,0)</f>
        <v>GRUP LİDERİ</v>
      </c>
    </row>
    <row r="44" spans="1:33" x14ac:dyDescent="0.2">
      <c r="A44" s="2">
        <v>231</v>
      </c>
      <c r="B44" s="3" t="s">
        <v>67</v>
      </c>
      <c r="C44" s="4">
        <v>36832</v>
      </c>
      <c r="D44" s="5">
        <f t="shared" si="6"/>
        <v>90</v>
      </c>
      <c r="E44" s="6">
        <f t="shared" si="1"/>
        <v>1</v>
      </c>
      <c r="F44" s="25" t="s">
        <v>421</v>
      </c>
      <c r="G44" s="3" t="s">
        <v>10</v>
      </c>
      <c r="H44" s="106" t="str">
        <f>VLOOKUP(A44,'Çalışan Listesi'!A:G,7,0)</f>
        <v>3.KADEME</v>
      </c>
      <c r="I44" s="65">
        <f>IFERROR(VLOOKUP(A44,'Kaizen Listesi'!A:H,8,0),0)</f>
        <v>0</v>
      </c>
      <c r="J44" s="65">
        <f>I44*VLOOKUP($I$2,'Kriter Ağırlık'!$A$1:$B$8,2,0)</f>
        <v>0</v>
      </c>
      <c r="K44" s="65">
        <f>IFERROR(VLOOKUP(A44,'Hata Kartı '!A:H,8,0),0)</f>
        <v>66.666666666666671</v>
      </c>
      <c r="L44" s="65">
        <f>K44*(VLOOKUP($K$2,'Kriter Ağırlık'!$A$1:$B$8,2,0))</f>
        <v>6.6666666666666679</v>
      </c>
      <c r="M44" s="65">
        <f>IFERROR(VLOOKUP(F44,'5S'!$B$8:$E$19,4,0),0)</f>
        <v>1</v>
      </c>
      <c r="N44" s="65">
        <f>VLOOKUP(M44,'5S'!$G$8:$I$14,3,1)*VLOOKUP($M$2,'Kriter Ağırlık'!$A$1:$B$8,2,0)*E44*X44</f>
        <v>8</v>
      </c>
      <c r="O44" s="1">
        <f>IFERROR(VLOOKUP(A44,Devamsızlıklar!A:K,10,0),0)</f>
        <v>0</v>
      </c>
      <c r="P44" s="40">
        <f>VLOOKUP(O44,Aralıklar!$A$2:$C$5,3,1)*VLOOKUP($O$2,'Kriter Ağırlık'!$A$1:$B$8,2,0)*E44*X44</f>
        <v>10</v>
      </c>
      <c r="Q44" s="1">
        <f>IFERROR(VLOOKUP(A44,Devamsızlıklar!A:K,8,0),0)</f>
        <v>0</v>
      </c>
      <c r="R44" s="33">
        <f>VLOOKUP(Q44,Aralıklar!$E$2:$G$5,3,1)</f>
        <v>1</v>
      </c>
      <c r="S44" s="33">
        <f>IFERROR(VLOOKUP(A44,Devamsızlıklar!A:K,9,0),0)</f>
        <v>0</v>
      </c>
      <c r="T44" s="33">
        <f>VLOOKUP(S44,Aralıklar!$I$2:$K$6,3,1)</f>
        <v>50</v>
      </c>
      <c r="U44" s="33">
        <f>IFERROR(VLOOKUP(A44,Devamsızlıklar!A:K,11,0),0)</f>
        <v>0</v>
      </c>
      <c r="V44" s="33">
        <f>VLOOKUP(U44,Aralıklar!$M$2:$O$6,3,1)</f>
        <v>50</v>
      </c>
      <c r="W44" s="40">
        <f>IF(X44=0,0,(T44+V44)*R44*VLOOKUP($W$2,'Kriter Ağırlık'!$A$1:$B$8,2,1)*E44)</f>
        <v>10</v>
      </c>
      <c r="X44" s="40">
        <f>IFERROR(VLOOKUP(A44,Devamsızlıklar!A:M,13,0),1)</f>
        <v>1</v>
      </c>
      <c r="Y44" s="40">
        <f>(OEE!$K$6*VLOOKUP($Y$2,'Kriter Ağırlık'!$A$1:$B$8,2,1))*X44*E44</f>
        <v>35</v>
      </c>
      <c r="Z44" s="40">
        <f>(TELEF!$I$10*VLOOKUP($Z$2,'Kriter Ağırlık'!$A$1:$B$8,2,1))*X44*E44</f>
        <v>15</v>
      </c>
      <c r="AA44" s="40">
        <f t="shared" si="2"/>
        <v>84.666666666666671</v>
      </c>
      <c r="AB44" s="1">
        <v>5</v>
      </c>
      <c r="AC44" s="33">
        <f>VLOOKUP(AB44,'Kriter Ağırlık'!$A$12:$C$17,3,0)</f>
        <v>18.5</v>
      </c>
      <c r="AD44" s="1">
        <v>3</v>
      </c>
      <c r="AE44" s="33">
        <f>VLOOKUP(AD44,'Kriter Ağırlık'!$E$12:$G$24,3,0)</f>
        <v>1.1499999999999999</v>
      </c>
      <c r="AF44" s="92">
        <f t="shared" si="3"/>
        <v>1801.2833333333333</v>
      </c>
      <c r="AG44" t="str">
        <f>VLOOKUP(A44,'Çalışan Listesi'!A:G,6,0)</f>
        <v>OPERATÖR</v>
      </c>
    </row>
    <row r="45" spans="1:33" x14ac:dyDescent="0.2">
      <c r="A45" s="2">
        <v>239</v>
      </c>
      <c r="B45" s="3" t="s">
        <v>68</v>
      </c>
      <c r="C45" s="4">
        <v>40581</v>
      </c>
      <c r="D45" s="5">
        <f t="shared" si="6"/>
        <v>90</v>
      </c>
      <c r="E45" s="6">
        <f t="shared" si="1"/>
        <v>1</v>
      </c>
      <c r="F45" s="25" t="s">
        <v>426</v>
      </c>
      <c r="G45" s="3" t="s">
        <v>69</v>
      </c>
      <c r="H45" s="106" t="str">
        <f>VLOOKUP(A45,'Çalışan Listesi'!A:G,7,0)</f>
        <v>4.KADEME</v>
      </c>
      <c r="I45" s="65">
        <f>IFERROR(VLOOKUP(A45,'Kaizen Listesi'!A:H,8,0),0)</f>
        <v>33.333333333333336</v>
      </c>
      <c r="J45" s="65">
        <f>I45*VLOOKUP($I$2,'Kriter Ağırlık'!$A$1:$B$8,2,0)</f>
        <v>4</v>
      </c>
      <c r="K45" s="65">
        <f>IFERROR(VLOOKUP(A45,'Hata Kartı '!A:H,8,0),0)</f>
        <v>33.333333333333336</v>
      </c>
      <c r="L45" s="65">
        <f>K45*(VLOOKUP($K$2,'Kriter Ağırlık'!$A$1:$B$8,2,0))</f>
        <v>3.3333333333333339</v>
      </c>
      <c r="M45" s="65">
        <f>IFERROR(VLOOKUP(F45,'5S'!$B$8:$E$19,4,0),0)</f>
        <v>1</v>
      </c>
      <c r="N45" s="65">
        <f>VLOOKUP(M45,'5S'!$G$8:$I$14,3,1)*VLOOKUP($M$2,'Kriter Ağırlık'!$A$1:$B$8,2,0)*E45*X45</f>
        <v>8</v>
      </c>
      <c r="O45" s="1">
        <f>IFERROR(VLOOKUP(A45,Devamsızlıklar!A:K,10,0),0)</f>
        <v>0</v>
      </c>
      <c r="P45" s="40">
        <f>VLOOKUP(O45,Aralıklar!$A$2:$C$5,3,1)*VLOOKUP($O$2,'Kriter Ağırlık'!$A$1:$B$8,2,0)*E45*X45</f>
        <v>10</v>
      </c>
      <c r="Q45" s="1">
        <f>IFERROR(VLOOKUP(A45,Devamsızlıklar!A:K,8,0),0)</f>
        <v>0</v>
      </c>
      <c r="R45" s="33">
        <f>VLOOKUP(Q45,Aralıklar!$E$2:$G$5,3,1)</f>
        <v>1</v>
      </c>
      <c r="S45" s="33">
        <f>IFERROR(VLOOKUP(A45,Devamsızlıklar!A:K,9,0),0)</f>
        <v>0</v>
      </c>
      <c r="T45" s="33">
        <f>VLOOKUP(S45,Aralıklar!$I$2:$K$6,3,1)</f>
        <v>50</v>
      </c>
      <c r="U45" s="33">
        <f>IFERROR(VLOOKUP(A45,Devamsızlıklar!A:K,11,0),0)</f>
        <v>0</v>
      </c>
      <c r="V45" s="33">
        <f>VLOOKUP(U45,Aralıklar!$M$2:$O$6,3,1)</f>
        <v>50</v>
      </c>
      <c r="W45" s="40">
        <f>IF(X45=0,0,(T45+V45)*R45*VLOOKUP($W$2,'Kriter Ağırlık'!$A$1:$B$8,2,1)*E45)</f>
        <v>10</v>
      </c>
      <c r="X45" s="40">
        <f>IFERROR(VLOOKUP(A45,Devamsızlıklar!A:M,13,0),1)</f>
        <v>1</v>
      </c>
      <c r="Y45" s="40">
        <f>(OEE!$K$6*VLOOKUP($Y$2,'Kriter Ağırlık'!$A$1:$B$8,2,1))*X45*E45</f>
        <v>35</v>
      </c>
      <c r="Z45" s="40">
        <f>(TELEF!$I$10*VLOOKUP($Z$2,'Kriter Ağırlık'!$A$1:$B$8,2,1))*X45*E45</f>
        <v>15</v>
      </c>
      <c r="AA45" s="40">
        <f t="shared" si="2"/>
        <v>85.333333333333343</v>
      </c>
      <c r="AB45" s="1">
        <v>3</v>
      </c>
      <c r="AC45" s="33">
        <f>VLOOKUP(AB45,'Kriter Ağırlık'!$A$12:$C$17,3,0)</f>
        <v>0</v>
      </c>
      <c r="AD45" s="1">
        <v>2</v>
      </c>
      <c r="AE45" s="33">
        <f>VLOOKUP(AD45,'Kriter Ağırlık'!$E$12:$G$24,3,0)</f>
        <v>1.232</v>
      </c>
      <c r="AF45" s="92">
        <f t="shared" si="3"/>
        <v>0</v>
      </c>
      <c r="AG45" t="str">
        <f>VLOOKUP(A45,'Çalışan Listesi'!A:G,6,0)</f>
        <v>TAKIM LİDERİ</v>
      </c>
    </row>
    <row r="46" spans="1:33" x14ac:dyDescent="0.2">
      <c r="A46" s="2">
        <v>248</v>
      </c>
      <c r="B46" s="3" t="s">
        <v>70</v>
      </c>
      <c r="C46" s="4">
        <v>40597</v>
      </c>
      <c r="D46" s="5">
        <f t="shared" si="6"/>
        <v>90</v>
      </c>
      <c r="E46" s="6">
        <f t="shared" si="1"/>
        <v>1</v>
      </c>
      <c r="F46" s="25" t="s">
        <v>421</v>
      </c>
      <c r="G46" s="3" t="s">
        <v>10</v>
      </c>
      <c r="H46" s="106" t="str">
        <f>VLOOKUP(A46,'Çalışan Listesi'!A:G,7,0)</f>
        <v>3.KADEME</v>
      </c>
      <c r="I46" s="65">
        <f>IFERROR(VLOOKUP(A46,'Kaizen Listesi'!A:H,8,0),0)</f>
        <v>0</v>
      </c>
      <c r="J46" s="65">
        <f>I46*VLOOKUP($I$2,'Kriter Ağırlık'!$A$1:$B$8,2,0)</f>
        <v>0</v>
      </c>
      <c r="K46" s="65">
        <f>IFERROR(VLOOKUP(A46,'Hata Kartı '!A:H,8,0),0)</f>
        <v>33.333333333333336</v>
      </c>
      <c r="L46" s="65">
        <f>K46*(VLOOKUP($K$2,'Kriter Ağırlık'!$A$1:$B$8,2,0))</f>
        <v>3.3333333333333339</v>
      </c>
      <c r="M46" s="65">
        <f>IFERROR(VLOOKUP(F46,'5S'!$B$8:$E$19,4,0),0)</f>
        <v>1</v>
      </c>
      <c r="N46" s="65">
        <f>VLOOKUP(M46,'5S'!$G$8:$I$14,3,1)*VLOOKUP($M$2,'Kriter Ağırlık'!$A$1:$B$8,2,0)*E46*X46</f>
        <v>7.3777777777777782</v>
      </c>
      <c r="O46" s="1">
        <f>IFERROR(VLOOKUP(A46,Devamsızlıklar!A:K,10,0),0)</f>
        <v>0</v>
      </c>
      <c r="P46" s="40">
        <f>VLOOKUP(O46,Aralıklar!$A$2:$C$5,3,1)*VLOOKUP($O$2,'Kriter Ağırlık'!$A$1:$B$8,2,0)*E46*X46</f>
        <v>9.2222222222222232</v>
      </c>
      <c r="Q46" s="1">
        <f>IFERROR(VLOOKUP(A46,Devamsızlıklar!A:K,8,0),0)</f>
        <v>0</v>
      </c>
      <c r="R46" s="33">
        <f>VLOOKUP(Q46,Aralıklar!$E$2:$G$5,3,1)</f>
        <v>1</v>
      </c>
      <c r="S46" s="33">
        <f>IFERROR(VLOOKUP(A46,Devamsızlıklar!A:K,9,0),0)</f>
        <v>0</v>
      </c>
      <c r="T46" s="33">
        <f>VLOOKUP(S46,Aralıklar!$I$2:$K$6,3,1)</f>
        <v>50</v>
      </c>
      <c r="U46" s="33">
        <f>IFERROR(VLOOKUP(A46,Devamsızlıklar!A:K,11,0),0)</f>
        <v>0</v>
      </c>
      <c r="V46" s="33">
        <f>VLOOKUP(U46,Aralıklar!$M$2:$O$6,3,1)</f>
        <v>50</v>
      </c>
      <c r="W46" s="40">
        <f>IF(X46=0,0,(T46+V46)*R46*VLOOKUP($W$2,'Kriter Ağırlık'!$A$1:$B$8,2,1)*E46)</f>
        <v>10</v>
      </c>
      <c r="X46" s="40">
        <f>IFERROR(VLOOKUP(A46,Devamsızlıklar!A:M,13,0),1)</f>
        <v>0.92222222222222228</v>
      </c>
      <c r="Y46" s="40">
        <f>(OEE!$K$6*VLOOKUP($Y$2,'Kriter Ağırlık'!$A$1:$B$8,2,1))*X46*E46</f>
        <v>32.277777777777779</v>
      </c>
      <c r="Z46" s="40">
        <f>(TELEF!$I$10*VLOOKUP($Z$2,'Kriter Ağırlık'!$A$1:$B$8,2,1))*X46*E46</f>
        <v>13.833333333333334</v>
      </c>
      <c r="AA46" s="40">
        <f t="shared" si="2"/>
        <v>76.044444444444451</v>
      </c>
      <c r="AB46" s="1">
        <v>5</v>
      </c>
      <c r="AC46" s="33">
        <f>VLOOKUP(AB46,'Kriter Ağırlık'!$A$12:$C$17,3,0)</f>
        <v>18.5</v>
      </c>
      <c r="AD46" s="1">
        <v>3</v>
      </c>
      <c r="AE46" s="33">
        <f>VLOOKUP(AD46,'Kriter Ağırlık'!$E$12:$G$24,3,0)</f>
        <v>1.1499999999999999</v>
      </c>
      <c r="AF46" s="92">
        <f t="shared" si="3"/>
        <v>1617.8455555555556</v>
      </c>
      <c r="AG46" t="str">
        <f>VLOOKUP(A46,'Çalışan Listesi'!A:G,6,0)</f>
        <v>OPERATÖR</v>
      </c>
    </row>
    <row r="47" spans="1:33" s="133" customFormat="1" x14ac:dyDescent="0.2">
      <c r="A47" s="123">
        <v>253</v>
      </c>
      <c r="B47" s="124" t="s">
        <v>71</v>
      </c>
      <c r="C47" s="125">
        <v>43587</v>
      </c>
      <c r="D47" s="126">
        <f t="shared" si="6"/>
        <v>90</v>
      </c>
      <c r="E47" s="127">
        <f t="shared" si="1"/>
        <v>1</v>
      </c>
      <c r="F47" s="135" t="s">
        <v>548</v>
      </c>
      <c r="G47" s="124" t="s">
        <v>64</v>
      </c>
      <c r="H47" s="129" t="str">
        <f>VLOOKUP(A47,'Çalışan Listesi'!A:G,7,0)</f>
        <v>4.KADEME</v>
      </c>
      <c r="I47" s="130">
        <f>IFERROR(VLOOKUP(A47,'Kaizen Listesi'!A:H,8,0),0)</f>
        <v>33.333333333333336</v>
      </c>
      <c r="J47" s="130">
        <f>I47*VLOOKUP($I$2,'Kriter Ağırlık'!$A$1:$B$8,2,0)</f>
        <v>4</v>
      </c>
      <c r="K47" s="130">
        <f>IFERROR(VLOOKUP(A47,'Hata Kartı '!A:H,8,0),0)</f>
        <v>16.666666666666668</v>
      </c>
      <c r="L47" s="130">
        <f>K47*(VLOOKUP($K$2,'Kriter Ağırlık'!$A$1:$B$8,2,0))</f>
        <v>1.666666666666667</v>
      </c>
      <c r="M47" s="130">
        <f>IFERROR(VLOOKUP(F47,'5S'!$B$8:$E$19,4,0),0)</f>
        <v>0</v>
      </c>
      <c r="N47" s="130">
        <f>VLOOKUP(M47,'5S'!$G$8:$I$14,3,1)*VLOOKUP($M$2,'Kriter Ağırlık'!$A$1:$B$8,2,0)*E47*X47</f>
        <v>0</v>
      </c>
      <c r="O47" s="129">
        <f>IFERROR(VLOOKUP(A47,Devamsızlıklar!A:K,10,0),0)</f>
        <v>0</v>
      </c>
      <c r="P47" s="131">
        <f>VLOOKUP(O47,Aralıklar!$A$2:$C$5,3,1)*VLOOKUP($O$2,'Kriter Ağırlık'!$A$1:$B$8,2,0)*E47*X47</f>
        <v>10</v>
      </c>
      <c r="Q47" s="1">
        <f>IFERROR(VLOOKUP(A47,Devamsızlıklar!A:K,8,0),0)</f>
        <v>0</v>
      </c>
      <c r="R47" s="33">
        <f>VLOOKUP(Q47,Aralıklar!$E$2:$G$5,3,1)</f>
        <v>1</v>
      </c>
      <c r="S47" s="33">
        <f>IFERROR(VLOOKUP(A47,Devamsızlıklar!A:K,9,0),0)</f>
        <v>0</v>
      </c>
      <c r="T47" s="33">
        <f>VLOOKUP(S47,Aralıklar!$I$2:$K$6,3,1)</f>
        <v>50</v>
      </c>
      <c r="U47" s="33">
        <f>IFERROR(VLOOKUP(A47,Devamsızlıklar!A:K,11,0),0)</f>
        <v>0</v>
      </c>
      <c r="V47" s="33">
        <f>VLOOKUP(U47,Aralıklar!$M$2:$O$6,3,1)</f>
        <v>50</v>
      </c>
      <c r="W47" s="131">
        <f>IF(X47=0,0,(T47+V47)*R47*VLOOKUP($W$2,'Kriter Ağırlık'!$A$1:$B$8,2,1)*E47)</f>
        <v>10</v>
      </c>
      <c r="X47" s="131">
        <f>IFERROR(VLOOKUP(A47,Devamsızlıklar!A:M,13,0),1)</f>
        <v>1</v>
      </c>
      <c r="Y47" s="131">
        <f>(OEE!$K$6*VLOOKUP($Y$2,'Kriter Ağırlık'!$A$1:$B$8,2,1))*X47*E47</f>
        <v>35</v>
      </c>
      <c r="Z47" s="131">
        <f>(TELEF!$I$10*VLOOKUP($Z$2,'Kriter Ağırlık'!$A$1:$B$8,2,1))*X47*E47</f>
        <v>15</v>
      </c>
      <c r="AA47" s="131">
        <f t="shared" si="2"/>
        <v>75.666666666666671</v>
      </c>
      <c r="AB47" s="129">
        <v>3</v>
      </c>
      <c r="AC47" s="129">
        <f>VLOOKUP(AB47,'Kriter Ağırlık'!$A$12:$C$17,3,0)</f>
        <v>0</v>
      </c>
      <c r="AD47" s="129">
        <v>2</v>
      </c>
      <c r="AE47" s="129">
        <f>VLOOKUP(AD47,'Kriter Ağırlık'!$E$12:$G$24,3,0)</f>
        <v>1.232</v>
      </c>
      <c r="AF47" s="132">
        <f t="shared" si="3"/>
        <v>0</v>
      </c>
      <c r="AG47" s="133" t="str">
        <f>VLOOKUP(A47,'Çalışan Listesi'!A:G,6,0)</f>
        <v>TAKIM LİDERİ</v>
      </c>
    </row>
    <row r="48" spans="1:33" x14ac:dyDescent="0.2">
      <c r="A48" s="2">
        <v>254</v>
      </c>
      <c r="B48" s="3" t="s">
        <v>72</v>
      </c>
      <c r="C48" s="4">
        <v>37319</v>
      </c>
      <c r="D48" s="5">
        <f t="shared" si="6"/>
        <v>90</v>
      </c>
      <c r="E48" s="6">
        <f t="shared" si="1"/>
        <v>1</v>
      </c>
      <c r="F48" s="25" t="s">
        <v>421</v>
      </c>
      <c r="G48" s="3" t="s">
        <v>59</v>
      </c>
      <c r="H48" s="106" t="str">
        <f>VLOOKUP(A48,'Çalışan Listesi'!A:G,7,0)</f>
        <v>SÜPERVİZÖR</v>
      </c>
      <c r="I48" s="65">
        <f>IFERROR(VLOOKUP(A48,'Kaizen Listesi'!A:H,8,0),0)</f>
        <v>0</v>
      </c>
      <c r="J48" s="65">
        <f>I48*VLOOKUP($I$2,'Kriter Ağırlık'!$A$1:$B$8,2,0)</f>
        <v>0</v>
      </c>
      <c r="K48" s="65">
        <f>IFERROR(VLOOKUP(A48,'Hata Kartı '!A:H,8,0),0)</f>
        <v>33.333333333333336</v>
      </c>
      <c r="L48" s="65">
        <f>K48*(VLOOKUP($K$2,'Kriter Ağırlık'!$A$1:$B$8,2,0))</f>
        <v>3.3333333333333339</v>
      </c>
      <c r="M48" s="65">
        <f>IFERROR(VLOOKUP(F48,'5S'!$B$8:$E$19,4,0),0)</f>
        <v>1</v>
      </c>
      <c r="N48" s="65">
        <f>VLOOKUP(M48,'5S'!$G$8:$I$14,3,1)*VLOOKUP($M$2,'Kriter Ağırlık'!$A$1:$B$8,2,0)*E48*X48</f>
        <v>8</v>
      </c>
      <c r="O48" s="1">
        <f>IFERROR(VLOOKUP(A48,Devamsızlıklar!A:K,10,0),0)</f>
        <v>0</v>
      </c>
      <c r="P48" s="40">
        <f>VLOOKUP(O48,Aralıklar!$A$2:$C$5,3,1)*VLOOKUP($O$2,'Kriter Ağırlık'!$A$1:$B$8,2,0)*E48*X48</f>
        <v>10</v>
      </c>
      <c r="Q48" s="1">
        <f>IFERROR(VLOOKUP(A48,Devamsızlıklar!A:K,8,0),0)</f>
        <v>0</v>
      </c>
      <c r="R48" s="33">
        <f>VLOOKUP(Q48,Aralıklar!$E$2:$G$5,3,1)</f>
        <v>1</v>
      </c>
      <c r="S48" s="33">
        <f>IFERROR(VLOOKUP(A48,Devamsızlıklar!A:K,9,0),0)</f>
        <v>0</v>
      </c>
      <c r="T48" s="33">
        <f>VLOOKUP(S48,Aralıklar!$I$2:$K$6,3,1)</f>
        <v>50</v>
      </c>
      <c r="U48" s="33">
        <f>IFERROR(VLOOKUP(A48,Devamsızlıklar!A:K,11,0),0)</f>
        <v>0</v>
      </c>
      <c r="V48" s="33">
        <f>VLOOKUP(U48,Aralıklar!$M$2:$O$6,3,1)</f>
        <v>50</v>
      </c>
      <c r="W48" s="40">
        <f>IF(X48=0,0,(T48+V48)*R48*VLOOKUP($W$2,'Kriter Ağırlık'!$A$1:$B$8,2,1)*E48)</f>
        <v>10</v>
      </c>
      <c r="X48" s="40">
        <f>IFERROR(VLOOKUP(A48,Devamsızlıklar!A:M,13,0),1)</f>
        <v>1</v>
      </c>
      <c r="Y48" s="40">
        <f>(OEE!$K$6*VLOOKUP($Y$2,'Kriter Ağırlık'!$A$1:$B$8,2,1))*X48*E48</f>
        <v>35</v>
      </c>
      <c r="Z48" s="40">
        <f>(TELEF!$I$10*VLOOKUP($Z$2,'Kriter Ağırlık'!$A$1:$B$8,2,1))*X48*E48</f>
        <v>15</v>
      </c>
      <c r="AA48" s="40">
        <f t="shared" si="2"/>
        <v>81.333333333333343</v>
      </c>
      <c r="AB48" s="1">
        <v>2</v>
      </c>
      <c r="AC48" s="33">
        <f>VLOOKUP(AB48,'Kriter Ağırlık'!$A$12:$C$17,3,0)</f>
        <v>0</v>
      </c>
      <c r="AD48" s="75">
        <v>1</v>
      </c>
      <c r="AE48" s="33">
        <f>VLOOKUP(AD48,'Kriter Ağırlık'!$E$12:$G$24,3,0)</f>
        <v>1</v>
      </c>
      <c r="AF48" s="92">
        <f t="shared" si="3"/>
        <v>0</v>
      </c>
      <c r="AG48" t="str">
        <f>VLOOKUP(A48,'Çalışan Listesi'!A:G,6,0)</f>
        <v>GRUP LİDERİ</v>
      </c>
    </row>
    <row r="49" spans="1:33" x14ac:dyDescent="0.2">
      <c r="A49" s="2">
        <v>261</v>
      </c>
      <c r="B49" s="3" t="s">
        <v>73</v>
      </c>
      <c r="C49" s="4">
        <v>41157</v>
      </c>
      <c r="D49" s="5">
        <f t="shared" si="6"/>
        <v>90</v>
      </c>
      <c r="E49" s="6">
        <f t="shared" si="1"/>
        <v>1</v>
      </c>
      <c r="F49" s="25" t="s">
        <v>424</v>
      </c>
      <c r="G49" s="3" t="s">
        <v>74</v>
      </c>
      <c r="H49" s="106" t="str">
        <f>VLOOKUP(A49,'Çalışan Listesi'!A:G,7,0)</f>
        <v>4.KADEME</v>
      </c>
      <c r="I49" s="65">
        <f>IFERROR(VLOOKUP(A49,'Kaizen Listesi'!A:H,8,0),0)</f>
        <v>33.333333333333336</v>
      </c>
      <c r="J49" s="65">
        <f>I49*VLOOKUP($I$2,'Kriter Ağırlık'!$A$1:$B$8,2,0)</f>
        <v>4</v>
      </c>
      <c r="K49" s="65">
        <f>IFERROR(VLOOKUP(A49,'Hata Kartı '!A:H,8,0),0)</f>
        <v>16.666666666666668</v>
      </c>
      <c r="L49" s="65">
        <f>K49*(VLOOKUP($K$2,'Kriter Ağırlık'!$A$1:$B$8,2,0))</f>
        <v>1.666666666666667</v>
      </c>
      <c r="M49" s="65">
        <f>IFERROR(VLOOKUP(F49,'5S'!$B$8:$E$19,4,0),0)</f>
        <v>1</v>
      </c>
      <c r="N49" s="65">
        <f>VLOOKUP(M49,'5S'!$G$8:$I$14,3,1)*VLOOKUP($M$2,'Kriter Ağırlık'!$A$1:$B$8,2,0)*E49*X49</f>
        <v>8</v>
      </c>
      <c r="O49" s="1">
        <f>IFERROR(VLOOKUP(A49,Devamsızlıklar!A:K,10,0),0)</f>
        <v>0</v>
      </c>
      <c r="P49" s="40">
        <f>VLOOKUP(O49,Aralıklar!$A$2:$C$5,3,1)*VLOOKUP($O$2,'Kriter Ağırlık'!$A$1:$B$8,2,0)*E49*X49</f>
        <v>10</v>
      </c>
      <c r="Q49" s="1">
        <f>IFERROR(VLOOKUP(A49,Devamsızlıklar!A:K,8,0),0)</f>
        <v>0</v>
      </c>
      <c r="R49" s="33">
        <f>VLOOKUP(Q49,Aralıklar!$E$2:$G$5,3,1)</f>
        <v>1</v>
      </c>
      <c r="S49" s="33">
        <f>IFERROR(VLOOKUP(A49,Devamsızlıklar!A:K,9,0),0)</f>
        <v>0</v>
      </c>
      <c r="T49" s="33">
        <f>VLOOKUP(S49,Aralıklar!$I$2:$K$6,3,1)</f>
        <v>50</v>
      </c>
      <c r="U49" s="33">
        <f>IFERROR(VLOOKUP(A49,Devamsızlıklar!A:K,11,0),0)</f>
        <v>0</v>
      </c>
      <c r="V49" s="33">
        <f>VLOOKUP(U49,Aralıklar!$M$2:$O$6,3,1)</f>
        <v>50</v>
      </c>
      <c r="W49" s="40">
        <f>IF(X49=0,0,(T49+V49)*R49*VLOOKUP($W$2,'Kriter Ağırlık'!$A$1:$B$8,2,1)*E49)</f>
        <v>10</v>
      </c>
      <c r="X49" s="40">
        <f>IFERROR(VLOOKUP(A49,Devamsızlıklar!A:M,13,0),1)</f>
        <v>1</v>
      </c>
      <c r="Y49" s="40">
        <f>(OEE!$K$6*VLOOKUP($Y$2,'Kriter Ağırlık'!$A$1:$B$8,2,1))*X49*E49</f>
        <v>35</v>
      </c>
      <c r="Z49" s="40">
        <f>(TELEF!$I$10*VLOOKUP($Z$2,'Kriter Ağırlık'!$A$1:$B$8,2,1))*X49*E49</f>
        <v>15</v>
      </c>
      <c r="AA49" s="40">
        <f t="shared" si="2"/>
        <v>83.666666666666671</v>
      </c>
      <c r="AB49" s="1">
        <v>4</v>
      </c>
      <c r="AC49" s="33">
        <f>VLOOKUP(AB49,'Kriter Ağırlık'!$A$12:$C$17,3,0)</f>
        <v>13.5</v>
      </c>
      <c r="AD49" s="1">
        <v>1</v>
      </c>
      <c r="AE49" s="33">
        <f>VLOOKUP(AD49,'Kriter Ağırlık'!$E$12:$G$24,3,0)</f>
        <v>1</v>
      </c>
      <c r="AF49" s="92">
        <f t="shared" si="3"/>
        <v>1129.5</v>
      </c>
      <c r="AG49" t="str">
        <f>VLOOKUP(A49,'Çalışan Listesi'!A:G,6,0)</f>
        <v>TAKIM LİDERİ YARDIMCISI</v>
      </c>
    </row>
    <row r="50" spans="1:33" x14ac:dyDescent="0.2">
      <c r="A50" s="2">
        <v>266</v>
      </c>
      <c r="B50" s="3" t="s">
        <v>514</v>
      </c>
      <c r="C50" s="4">
        <v>37609</v>
      </c>
      <c r="D50" s="5">
        <f t="shared" si="6"/>
        <v>90</v>
      </c>
      <c r="E50" s="6">
        <f t="shared" si="1"/>
        <v>1</v>
      </c>
      <c r="F50" s="72" t="s">
        <v>430</v>
      </c>
      <c r="G50" s="3" t="s">
        <v>76</v>
      </c>
      <c r="H50" s="106" t="s">
        <v>405</v>
      </c>
      <c r="I50" s="65">
        <f>IFERROR(VLOOKUP(A50,'Kaizen Listesi'!A:H,8,0),0)</f>
        <v>0</v>
      </c>
      <c r="J50" s="65">
        <f>I50*VLOOKUP($I$2,'Kriter Ağırlık'!$A$1:$B$8,2,0)</f>
        <v>0</v>
      </c>
      <c r="K50" s="65">
        <f>IFERROR(VLOOKUP(A50,'Hata Kartı '!A:H,8,0),0)</f>
        <v>0</v>
      </c>
      <c r="L50" s="65">
        <f>K50*(VLOOKUP($K$2,'Kriter Ağırlık'!$A$1:$B$8,2,0))</f>
        <v>0</v>
      </c>
      <c r="M50" s="65">
        <f>IFERROR(VLOOKUP(F50,'5S'!$B$8:$E$19,4,0),0)</f>
        <v>1</v>
      </c>
      <c r="N50" s="65">
        <f>VLOOKUP(M50,'5S'!$G$8:$I$14,3,1)*VLOOKUP($M$2,'Kriter Ağırlık'!$A$1:$B$8,2,0)*E50*X50</f>
        <v>8</v>
      </c>
      <c r="O50" s="74">
        <f>IFERROR(VLOOKUP(A50,Devamsızlıklar!A:K,10,0),0)</f>
        <v>0</v>
      </c>
      <c r="P50" s="40">
        <f>VLOOKUP(O50,Aralıklar!$A$2:$C$5,3,1)*VLOOKUP($O$2,'Kriter Ağırlık'!$A$1:$B$8,2,0)*E50*X50</f>
        <v>10</v>
      </c>
      <c r="Q50" s="74">
        <f>IFERROR(VLOOKUP(A50,Devamsızlıklar!A:K,8,0),0)</f>
        <v>0</v>
      </c>
      <c r="R50" s="74">
        <f>VLOOKUP(Q50,Aralıklar!$E$2:$G$5,3,1)</f>
        <v>1</v>
      </c>
      <c r="S50" s="74">
        <f>IFERROR(VLOOKUP(A50,Devamsızlıklar!A:K,9,0),0)</f>
        <v>0</v>
      </c>
      <c r="T50" s="74">
        <f>VLOOKUP(S50,Aralıklar!$I$2:$K$6,3,1)</f>
        <v>50</v>
      </c>
      <c r="U50" s="74">
        <f>IFERROR(VLOOKUP(A50,Devamsızlıklar!A:K,11,0),0)</f>
        <v>0</v>
      </c>
      <c r="V50" s="74">
        <f>VLOOKUP(U50,Aralıklar!$M$2:$O$6,3,1)</f>
        <v>50</v>
      </c>
      <c r="W50" s="40">
        <f>IF(X50=0,0,(T50+V50)*R50*VLOOKUP($W$2,'Kriter Ağırlık'!$A$1:$B$8,2,1)*E50)</f>
        <v>10</v>
      </c>
      <c r="X50" s="40">
        <f>IFERROR(VLOOKUP(A50,Devamsızlıklar!A:M,13,0),1)</f>
        <v>1</v>
      </c>
      <c r="Y50" s="40">
        <f>(OEE!$K$6*VLOOKUP($Y$2,'Kriter Ağırlık'!$A$1:$B$8,2,1))*X50*E50</f>
        <v>35</v>
      </c>
      <c r="Z50" s="40">
        <f>(TELEF!$I$10*VLOOKUP($Z$2,'Kriter Ağırlık'!$A$1:$B$8,2,1))*X50*E50</f>
        <v>15</v>
      </c>
      <c r="AA50" s="40">
        <f t="shared" si="2"/>
        <v>78</v>
      </c>
      <c r="AB50" s="71">
        <v>5</v>
      </c>
      <c r="AC50" s="71">
        <f>VLOOKUP(AB50,'Kriter Ağırlık'!$A$12:$C$17,3,0)</f>
        <v>18.5</v>
      </c>
      <c r="AD50" s="71">
        <v>2</v>
      </c>
      <c r="AE50" s="74">
        <f>VLOOKUP(AD50,'Kriter Ağırlık'!$E$12:$G$24,3,0)</f>
        <v>1.232</v>
      </c>
      <c r="AF50" s="92">
        <f t="shared" si="3"/>
        <v>1777.7760000000001</v>
      </c>
      <c r="AG50" t="e">
        <f>VLOOKUP(A50,'Çalışan Listesi'!A:G,6,0)</f>
        <v>#N/A</v>
      </c>
    </row>
    <row r="51" spans="1:33" x14ac:dyDescent="0.2">
      <c r="A51" s="2">
        <v>269</v>
      </c>
      <c r="B51" s="3" t="s">
        <v>75</v>
      </c>
      <c r="C51" s="4">
        <v>37676</v>
      </c>
      <c r="D51" s="5">
        <f t="shared" si="6"/>
        <v>90</v>
      </c>
      <c r="E51" s="6">
        <f t="shared" si="1"/>
        <v>1</v>
      </c>
      <c r="F51" s="25" t="s">
        <v>430</v>
      </c>
      <c r="G51" s="3" t="s">
        <v>76</v>
      </c>
      <c r="H51" s="106" t="str">
        <f>VLOOKUP(A51,'Çalışan Listesi'!A:G,7,0)</f>
        <v>3.KADEME</v>
      </c>
      <c r="I51" s="65">
        <f>IFERROR(VLOOKUP(A51,'Kaizen Listesi'!A:H,8,0),0)</f>
        <v>0</v>
      </c>
      <c r="J51" s="65">
        <f>I51*VLOOKUP($I$2,'Kriter Ağırlık'!$A$1:$B$8,2,0)</f>
        <v>0</v>
      </c>
      <c r="K51" s="65">
        <f>IFERROR(VLOOKUP(A51,'Hata Kartı '!A:H,8,0),0)</f>
        <v>0</v>
      </c>
      <c r="L51" s="65">
        <f>K51*(VLOOKUP($K$2,'Kriter Ağırlık'!$A$1:$B$8,2,0))</f>
        <v>0</v>
      </c>
      <c r="M51" s="65">
        <f>IFERROR(VLOOKUP(F51,'5S'!$B$8:$E$19,4,0),0)</f>
        <v>1</v>
      </c>
      <c r="N51" s="65">
        <f>VLOOKUP(M51,'5S'!$G$8:$I$14,3,1)*VLOOKUP($M$2,'Kriter Ağırlık'!$A$1:$B$8,2,0)*E51*X51</f>
        <v>8</v>
      </c>
      <c r="O51" s="1">
        <f>IFERROR(VLOOKUP(A51,Devamsızlıklar!A:K,10,0),0)</f>
        <v>0</v>
      </c>
      <c r="P51" s="40">
        <f>VLOOKUP(O51,Aralıklar!$A$2:$C$5,3,1)*VLOOKUP($O$2,'Kriter Ağırlık'!$A$1:$B$8,2,0)*E51*X51</f>
        <v>10</v>
      </c>
      <c r="Q51" s="1">
        <f>IFERROR(VLOOKUP(A51,Devamsızlıklar!A:K,8,0),0)</f>
        <v>0</v>
      </c>
      <c r="R51" s="33">
        <f>VLOOKUP(Q51,Aralıklar!$E$2:$G$5,3,1)</f>
        <v>1</v>
      </c>
      <c r="S51" s="33">
        <f>IFERROR(VLOOKUP(A51,Devamsızlıklar!A:K,9,0),0)</f>
        <v>0</v>
      </c>
      <c r="T51" s="33">
        <f>VLOOKUP(S51,Aralıklar!$I$2:$K$6,3,1)</f>
        <v>50</v>
      </c>
      <c r="U51" s="33">
        <f>IFERROR(VLOOKUP(A51,Devamsızlıklar!A:K,11,0),0)</f>
        <v>0</v>
      </c>
      <c r="V51" s="33">
        <f>VLOOKUP(U51,Aralıklar!$M$2:$O$6,3,1)</f>
        <v>50</v>
      </c>
      <c r="W51" s="40">
        <f>IF(X51=0,0,(T51+V51)*R51*VLOOKUP($W$2,'Kriter Ağırlık'!$A$1:$B$8,2,1)*E51)</f>
        <v>10</v>
      </c>
      <c r="X51" s="40">
        <f>IFERROR(VLOOKUP(A51,Devamsızlıklar!A:M,13,0),1)</f>
        <v>1</v>
      </c>
      <c r="Y51" s="40">
        <f>(OEE!$K$6*VLOOKUP($Y$2,'Kriter Ağırlık'!$A$1:$B$8,2,1))*X51*E51</f>
        <v>35</v>
      </c>
      <c r="Z51" s="40">
        <f>(TELEF!$I$10*VLOOKUP($Z$2,'Kriter Ağırlık'!$A$1:$B$8,2,1))*X51*E51</f>
        <v>15</v>
      </c>
      <c r="AA51" s="40">
        <f t="shared" si="2"/>
        <v>78</v>
      </c>
      <c r="AB51" s="1">
        <v>5</v>
      </c>
      <c r="AC51" s="33">
        <f>VLOOKUP(AB51,'Kriter Ağırlık'!$A$12:$C$17,3,0)</f>
        <v>18.5</v>
      </c>
      <c r="AD51" s="1">
        <v>3</v>
      </c>
      <c r="AE51" s="33">
        <f>VLOOKUP(AD51,'Kriter Ağırlık'!$E$12:$G$24,3,0)</f>
        <v>1.1499999999999999</v>
      </c>
      <c r="AF51" s="92">
        <f t="shared" si="3"/>
        <v>1659.4499999999998</v>
      </c>
      <c r="AG51" t="str">
        <f>VLOOKUP(A51,'Çalışan Listesi'!A:G,6,0)</f>
        <v>OPERATÖR</v>
      </c>
    </row>
    <row r="52" spans="1:33" x14ac:dyDescent="0.2">
      <c r="A52" s="2">
        <v>276</v>
      </c>
      <c r="B52" s="3" t="s">
        <v>77</v>
      </c>
      <c r="C52" s="4">
        <v>37831</v>
      </c>
      <c r="D52" s="5">
        <f t="shared" si="6"/>
        <v>90</v>
      </c>
      <c r="E52" s="6">
        <f t="shared" si="1"/>
        <v>1</v>
      </c>
      <c r="F52" s="25" t="s">
        <v>426</v>
      </c>
      <c r="G52" s="3" t="s">
        <v>69</v>
      </c>
      <c r="H52" s="106" t="str">
        <f>VLOOKUP(A52,'Çalışan Listesi'!A:G,7,0)</f>
        <v>4.KADEME</v>
      </c>
      <c r="I52" s="65">
        <f>IFERROR(VLOOKUP(A52,'Kaizen Listesi'!A:H,8,0),0)</f>
        <v>0</v>
      </c>
      <c r="J52" s="65">
        <f>I52*VLOOKUP($I$2,'Kriter Ağırlık'!$A$1:$B$8,2,0)</f>
        <v>0</v>
      </c>
      <c r="K52" s="65">
        <f>IFERROR(VLOOKUP(A52,'Hata Kartı '!A:H,8,0),0)</f>
        <v>33.333333333333336</v>
      </c>
      <c r="L52" s="65">
        <f>K52*(VLOOKUP($K$2,'Kriter Ağırlık'!$A$1:$B$8,2,0))</f>
        <v>3.3333333333333339</v>
      </c>
      <c r="M52" s="65">
        <f>IFERROR(VLOOKUP(F52,'5S'!$B$8:$E$19,4,0),0)</f>
        <v>1</v>
      </c>
      <c r="N52" s="65">
        <f>VLOOKUP(M52,'5S'!$G$8:$I$14,3,1)*VLOOKUP($M$2,'Kriter Ağırlık'!$A$1:$B$8,2,0)*E52*X52</f>
        <v>8</v>
      </c>
      <c r="O52" s="1">
        <f>IFERROR(VLOOKUP(A52,Devamsızlıklar!A:K,10,0),0)</f>
        <v>0</v>
      </c>
      <c r="P52" s="40">
        <f>VLOOKUP(O52,Aralıklar!$A$2:$C$5,3,1)*VLOOKUP($O$2,'Kriter Ağırlık'!$A$1:$B$8,2,0)*E52*X52</f>
        <v>10</v>
      </c>
      <c r="Q52" s="1">
        <f>IFERROR(VLOOKUP(A52,Devamsızlıklar!A:K,8,0),0)</f>
        <v>0</v>
      </c>
      <c r="R52" s="33">
        <f>VLOOKUP(Q52,Aralıklar!$E$2:$G$5,3,1)</f>
        <v>1</v>
      </c>
      <c r="S52" s="33">
        <f>IFERROR(VLOOKUP(A52,Devamsızlıklar!A:K,9,0),0)</f>
        <v>0</v>
      </c>
      <c r="T52" s="33">
        <f>VLOOKUP(S52,Aralıklar!$I$2:$K$6,3,1)</f>
        <v>50</v>
      </c>
      <c r="U52" s="33">
        <f>IFERROR(VLOOKUP(A52,Devamsızlıklar!A:K,11,0),0)</f>
        <v>0</v>
      </c>
      <c r="V52" s="33">
        <f>VLOOKUP(U52,Aralıklar!$M$2:$O$6,3,1)</f>
        <v>50</v>
      </c>
      <c r="W52" s="40">
        <f>IF(X52=0,0,(T52+V52)*R52*VLOOKUP($W$2,'Kriter Ağırlık'!$A$1:$B$8,2,1)*E52)</f>
        <v>10</v>
      </c>
      <c r="X52" s="40">
        <f>IFERROR(VLOOKUP(A52,Devamsızlıklar!A:M,13,0),1)</f>
        <v>1</v>
      </c>
      <c r="Y52" s="40">
        <f>(OEE!$K$6*VLOOKUP($Y$2,'Kriter Ağırlık'!$A$1:$B$8,2,1))*X52*E52</f>
        <v>35</v>
      </c>
      <c r="Z52" s="40">
        <f>(TELEF!$I$10*VLOOKUP($Z$2,'Kriter Ağırlık'!$A$1:$B$8,2,1))*X52*E52</f>
        <v>15</v>
      </c>
      <c r="AA52" s="40">
        <f t="shared" si="2"/>
        <v>81.333333333333343</v>
      </c>
      <c r="AB52" s="1">
        <v>3</v>
      </c>
      <c r="AC52" s="33">
        <f>VLOOKUP(AB52,'Kriter Ağırlık'!$A$12:$C$17,3,0)</f>
        <v>0</v>
      </c>
      <c r="AD52" s="1">
        <v>2</v>
      </c>
      <c r="AE52" s="33">
        <f>VLOOKUP(AD52,'Kriter Ağırlık'!$E$12:$G$24,3,0)</f>
        <v>1.232</v>
      </c>
      <c r="AF52" s="92">
        <f t="shared" si="3"/>
        <v>0</v>
      </c>
      <c r="AG52" t="str">
        <f>VLOOKUP(A52,'Çalışan Listesi'!A:G,6,0)</f>
        <v>TAKIM LİDERİ</v>
      </c>
    </row>
    <row r="53" spans="1:33" x14ac:dyDescent="0.2">
      <c r="A53" s="2">
        <v>279</v>
      </c>
      <c r="B53" s="3" t="s">
        <v>78</v>
      </c>
      <c r="C53" s="4">
        <v>38938</v>
      </c>
      <c r="D53" s="5">
        <f t="shared" si="6"/>
        <v>90</v>
      </c>
      <c r="E53" s="6">
        <f t="shared" si="1"/>
        <v>1</v>
      </c>
      <c r="F53" s="25" t="s">
        <v>421</v>
      </c>
      <c r="G53" s="3" t="s">
        <v>48</v>
      </c>
      <c r="H53" s="106" t="str">
        <f>VLOOKUP(A53,'Çalışan Listesi'!A:G,7,0)</f>
        <v>4.KADEME</v>
      </c>
      <c r="I53" s="65">
        <f>IFERROR(VLOOKUP(A53,'Kaizen Listesi'!A:H,8,0),0)</f>
        <v>33.333333333333336</v>
      </c>
      <c r="J53" s="65">
        <f>I53*VLOOKUP($I$2,'Kriter Ağırlık'!$A$1:$B$8,2,0)</f>
        <v>4</v>
      </c>
      <c r="K53" s="65">
        <f>IFERROR(VLOOKUP(A53,'Hata Kartı '!A:H,8,0),0)</f>
        <v>0</v>
      </c>
      <c r="L53" s="65">
        <f>K53*(VLOOKUP($K$2,'Kriter Ağırlık'!$A$1:$B$8,2,0))</f>
        <v>0</v>
      </c>
      <c r="M53" s="65">
        <f>IFERROR(VLOOKUP(F53,'5S'!$B$8:$E$19,4,0),0)</f>
        <v>1</v>
      </c>
      <c r="N53" s="65">
        <f>VLOOKUP(M53,'5S'!$G$8:$I$14,3,1)*VLOOKUP($M$2,'Kriter Ağırlık'!$A$1:$B$8,2,0)*E53*X53</f>
        <v>8</v>
      </c>
      <c r="O53" s="1">
        <f>IFERROR(VLOOKUP(A53,Devamsızlıklar!A:K,10,0),0)</f>
        <v>0</v>
      </c>
      <c r="P53" s="40">
        <f>VLOOKUP(O53,Aralıklar!$A$2:$C$5,3,1)*VLOOKUP($O$2,'Kriter Ağırlık'!$A$1:$B$8,2,0)*E53*X53</f>
        <v>10</v>
      </c>
      <c r="Q53" s="1">
        <f>IFERROR(VLOOKUP(A53,Devamsızlıklar!A:K,8,0),0)</f>
        <v>0</v>
      </c>
      <c r="R53" s="33">
        <f>VLOOKUP(Q53,Aralıklar!$E$2:$G$5,3,1)</f>
        <v>1</v>
      </c>
      <c r="S53" s="33">
        <f>IFERROR(VLOOKUP(A53,Devamsızlıklar!A:K,9,0),0)</f>
        <v>0</v>
      </c>
      <c r="T53" s="33">
        <f>VLOOKUP(S53,Aralıklar!$I$2:$K$6,3,1)</f>
        <v>50</v>
      </c>
      <c r="U53" s="33">
        <f>IFERROR(VLOOKUP(A53,Devamsızlıklar!A:K,11,0),0)</f>
        <v>0</v>
      </c>
      <c r="V53" s="33">
        <f>VLOOKUP(U53,Aralıklar!$M$2:$O$6,3,1)</f>
        <v>50</v>
      </c>
      <c r="W53" s="40">
        <f>IF(X53=0,0,(T53+V53)*R53*VLOOKUP($W$2,'Kriter Ağırlık'!$A$1:$B$8,2,1)*E53)</f>
        <v>10</v>
      </c>
      <c r="X53" s="40">
        <f>IFERROR(VLOOKUP(A53,Devamsızlıklar!A:M,13,0),1)</f>
        <v>1</v>
      </c>
      <c r="Y53" s="40">
        <f>(OEE!$K$6*VLOOKUP($Y$2,'Kriter Ağırlık'!$A$1:$B$8,2,1))*X53*E53</f>
        <v>35</v>
      </c>
      <c r="Z53" s="40">
        <f>(TELEF!$I$10*VLOOKUP($Z$2,'Kriter Ağırlık'!$A$1:$B$8,2,1))*X53*E53</f>
        <v>15</v>
      </c>
      <c r="AA53" s="40">
        <f t="shared" si="2"/>
        <v>82</v>
      </c>
      <c r="AB53" s="1">
        <v>3</v>
      </c>
      <c r="AC53" s="33">
        <f>VLOOKUP(AB53,'Kriter Ağırlık'!$A$12:$C$17,3,0)</f>
        <v>0</v>
      </c>
      <c r="AD53" s="1">
        <v>2</v>
      </c>
      <c r="AE53" s="33">
        <f>VLOOKUP(AD53,'Kriter Ağırlık'!$E$12:$G$24,3,0)</f>
        <v>1.232</v>
      </c>
      <c r="AF53" s="92">
        <f t="shared" si="3"/>
        <v>0</v>
      </c>
      <c r="AG53" t="str">
        <f>VLOOKUP(A53,'Çalışan Listesi'!A:G,6,0)</f>
        <v>TAKIM LİDERİ</v>
      </c>
    </row>
    <row r="54" spans="1:33" x14ac:dyDescent="0.2">
      <c r="A54" s="2">
        <v>300</v>
      </c>
      <c r="B54" s="3" t="s">
        <v>79</v>
      </c>
      <c r="C54" s="4">
        <v>38215</v>
      </c>
      <c r="D54" s="5">
        <f t="shared" si="6"/>
        <v>90</v>
      </c>
      <c r="E54" s="6">
        <f t="shared" si="1"/>
        <v>1</v>
      </c>
      <c r="F54" s="25" t="s">
        <v>421</v>
      </c>
      <c r="G54" s="3" t="s">
        <v>48</v>
      </c>
      <c r="H54" s="106" t="str">
        <f>VLOOKUP(A54,'Çalışan Listesi'!A:G,7,0)</f>
        <v>4.KADEME</v>
      </c>
      <c r="I54" s="65">
        <f>IFERROR(VLOOKUP(A54,'Kaizen Listesi'!A:H,8,0),0)</f>
        <v>0</v>
      </c>
      <c r="J54" s="65">
        <f>I54*VLOOKUP($I$2,'Kriter Ağırlık'!$A$1:$B$8,2,0)</f>
        <v>0</v>
      </c>
      <c r="K54" s="65">
        <f>IFERROR(VLOOKUP(A54,'Hata Kartı '!A:H,8,0),0)</f>
        <v>66.666666666666671</v>
      </c>
      <c r="L54" s="65">
        <f>K54*(VLOOKUP($K$2,'Kriter Ağırlık'!$A$1:$B$8,2,0))</f>
        <v>6.6666666666666679</v>
      </c>
      <c r="M54" s="65">
        <f>IFERROR(VLOOKUP(F54,'5S'!$B$8:$E$19,4,0),0)</f>
        <v>1</v>
      </c>
      <c r="N54" s="65">
        <f>VLOOKUP(M54,'5S'!$G$8:$I$14,3,1)*VLOOKUP($M$2,'Kriter Ağırlık'!$A$1:$B$8,2,0)*E54*X54</f>
        <v>8</v>
      </c>
      <c r="O54" s="1">
        <f>IFERROR(VLOOKUP(A54,Devamsızlıklar!A:K,10,0),0)</f>
        <v>0</v>
      </c>
      <c r="P54" s="40">
        <f>VLOOKUP(O54,Aralıklar!$A$2:$C$5,3,1)*VLOOKUP($O$2,'Kriter Ağırlık'!$A$1:$B$8,2,0)*E54*X54</f>
        <v>10</v>
      </c>
      <c r="Q54" s="1">
        <f>IFERROR(VLOOKUP(A54,Devamsızlıklar!A:K,8,0),0)</f>
        <v>0</v>
      </c>
      <c r="R54" s="33">
        <f>VLOOKUP(Q54,Aralıklar!$E$2:$G$5,3,1)</f>
        <v>1</v>
      </c>
      <c r="S54" s="33">
        <f>IFERROR(VLOOKUP(A54,Devamsızlıklar!A:K,9,0),0)</f>
        <v>0</v>
      </c>
      <c r="T54" s="33">
        <f>VLOOKUP(S54,Aralıklar!$I$2:$K$6,3,1)</f>
        <v>50</v>
      </c>
      <c r="U54" s="33">
        <f>IFERROR(VLOOKUP(A54,Devamsızlıklar!A:K,11,0),0)</f>
        <v>0</v>
      </c>
      <c r="V54" s="33">
        <f>VLOOKUP(U54,Aralıklar!$M$2:$O$6,3,1)</f>
        <v>50</v>
      </c>
      <c r="W54" s="40">
        <f>IF(X54=0,0,(T54+V54)*R54*VLOOKUP($W$2,'Kriter Ağırlık'!$A$1:$B$8,2,1)*E54)</f>
        <v>10</v>
      </c>
      <c r="X54" s="40">
        <f>IFERROR(VLOOKUP(A54,Devamsızlıklar!A:M,13,0),1)</f>
        <v>1</v>
      </c>
      <c r="Y54" s="40">
        <f>(OEE!$K$6*VLOOKUP($Y$2,'Kriter Ağırlık'!$A$1:$B$8,2,1))*X54*E54</f>
        <v>35</v>
      </c>
      <c r="Z54" s="40">
        <f>(TELEF!$I$10*VLOOKUP($Z$2,'Kriter Ağırlık'!$A$1:$B$8,2,1))*X54*E54</f>
        <v>15</v>
      </c>
      <c r="AA54" s="40">
        <f t="shared" si="2"/>
        <v>84.666666666666671</v>
      </c>
      <c r="AB54" s="1">
        <v>3</v>
      </c>
      <c r="AC54" s="33">
        <f>VLOOKUP(AB54,'Kriter Ağırlık'!$A$12:$C$17,3,0)</f>
        <v>0</v>
      </c>
      <c r="AD54" s="1">
        <v>2</v>
      </c>
      <c r="AE54" s="33">
        <f>VLOOKUP(AD54,'Kriter Ağırlık'!$E$12:$G$24,3,0)</f>
        <v>1.232</v>
      </c>
      <c r="AF54" s="92">
        <f t="shared" si="3"/>
        <v>0</v>
      </c>
      <c r="AG54" t="str">
        <f>VLOOKUP(A54,'Çalışan Listesi'!A:G,6,0)</f>
        <v>TAKIM LİDERİ</v>
      </c>
    </row>
    <row r="55" spans="1:33" x14ac:dyDescent="0.2">
      <c r="A55" s="2">
        <v>309</v>
      </c>
      <c r="B55" s="3" t="s">
        <v>80</v>
      </c>
      <c r="C55" s="4">
        <v>38322</v>
      </c>
      <c r="D55" s="5">
        <f t="shared" si="6"/>
        <v>90</v>
      </c>
      <c r="E55" s="6">
        <f t="shared" si="1"/>
        <v>1</v>
      </c>
      <c r="F55" s="25" t="s">
        <v>422</v>
      </c>
      <c r="G55" s="3" t="s">
        <v>54</v>
      </c>
      <c r="H55" s="106" t="str">
        <f>VLOOKUP(A55,'Çalışan Listesi'!A:G,7,0)</f>
        <v>4.KADEME</v>
      </c>
      <c r="I55" s="65">
        <f>IFERROR(VLOOKUP(A55,'Kaizen Listesi'!A:H,8,0),0)</f>
        <v>0</v>
      </c>
      <c r="J55" s="65">
        <f>I55*VLOOKUP($I$2,'Kriter Ağırlık'!$A$1:$B$8,2,0)</f>
        <v>0</v>
      </c>
      <c r="K55" s="65">
        <f>IFERROR(VLOOKUP(A55,'Hata Kartı '!A:H,8,0),0)</f>
        <v>0</v>
      </c>
      <c r="L55" s="65">
        <f>K55*(VLOOKUP($K$2,'Kriter Ağırlık'!$A$1:$B$8,2,0))</f>
        <v>0</v>
      </c>
      <c r="M55" s="65">
        <f>IFERROR(VLOOKUP(F55,'5S'!$B$8:$E$19,4,0),0)</f>
        <v>1</v>
      </c>
      <c r="N55" s="65">
        <f>VLOOKUP(M55,'5S'!$G$8:$I$14,3,1)*VLOOKUP($M$2,'Kriter Ağırlık'!$A$1:$B$8,2,0)*E55*X55</f>
        <v>8</v>
      </c>
      <c r="O55" s="1">
        <f>IFERROR(VLOOKUP(A55,Devamsızlıklar!A:K,10,0),0)</f>
        <v>0</v>
      </c>
      <c r="P55" s="40">
        <f>VLOOKUP(O55,Aralıklar!$A$2:$C$5,3,1)*VLOOKUP($O$2,'Kriter Ağırlık'!$A$1:$B$8,2,0)*E55*X55</f>
        <v>10</v>
      </c>
      <c r="Q55" s="1">
        <f>IFERROR(VLOOKUP(A55,Devamsızlıklar!A:K,8,0),0)</f>
        <v>0</v>
      </c>
      <c r="R55" s="33">
        <f>VLOOKUP(Q55,Aralıklar!$E$2:$G$5,3,1)</f>
        <v>1</v>
      </c>
      <c r="S55" s="33">
        <f>IFERROR(VLOOKUP(A55,Devamsızlıklar!A:K,9,0),0)</f>
        <v>0</v>
      </c>
      <c r="T55" s="33">
        <f>VLOOKUP(S55,Aralıklar!$I$2:$K$6,3,1)</f>
        <v>50</v>
      </c>
      <c r="U55" s="33">
        <f>IFERROR(VLOOKUP(A55,Devamsızlıklar!A:K,11,0),0)</f>
        <v>0</v>
      </c>
      <c r="V55" s="33">
        <f>VLOOKUP(U55,Aralıklar!$M$2:$O$6,3,1)</f>
        <v>50</v>
      </c>
      <c r="W55" s="40">
        <f>IF(X55=0,0,(T55+V55)*R55*VLOOKUP($W$2,'Kriter Ağırlık'!$A$1:$B$8,2,1)*E55)</f>
        <v>10</v>
      </c>
      <c r="X55" s="40">
        <f>IFERROR(VLOOKUP(A55,Devamsızlıklar!A:M,13,0),1)</f>
        <v>1</v>
      </c>
      <c r="Y55" s="40">
        <f>(OEE!$K$6*VLOOKUP($Y$2,'Kriter Ağırlık'!$A$1:$B$8,2,1))*X55*E55</f>
        <v>35</v>
      </c>
      <c r="Z55" s="40">
        <f>(TELEF!$I$10*VLOOKUP($Z$2,'Kriter Ağırlık'!$A$1:$B$8,2,1))*X55*E55</f>
        <v>15</v>
      </c>
      <c r="AA55" s="40">
        <f t="shared" si="2"/>
        <v>78</v>
      </c>
      <c r="AB55" s="1">
        <v>5</v>
      </c>
      <c r="AC55" s="33">
        <f>VLOOKUP(AB55,'Kriter Ağırlık'!$A$12:$C$17,3,0)</f>
        <v>18.5</v>
      </c>
      <c r="AD55" s="1">
        <v>2</v>
      </c>
      <c r="AE55" s="33">
        <f>VLOOKUP(AD55,'Kriter Ağırlık'!$E$12:$G$24,3,0)</f>
        <v>1.232</v>
      </c>
      <c r="AF55" s="92">
        <f t="shared" si="3"/>
        <v>1777.7760000000001</v>
      </c>
      <c r="AG55" t="str">
        <f>VLOOKUP(A55,'Çalışan Listesi'!A:G,6,0)</f>
        <v>OPERATÖR</v>
      </c>
    </row>
    <row r="56" spans="1:33" x14ac:dyDescent="0.2">
      <c r="A56" s="2">
        <v>315</v>
      </c>
      <c r="B56" s="3" t="s">
        <v>81</v>
      </c>
      <c r="C56" s="4">
        <v>41080</v>
      </c>
      <c r="D56" s="5">
        <f t="shared" si="6"/>
        <v>90</v>
      </c>
      <c r="E56" s="6">
        <f t="shared" si="1"/>
        <v>1</v>
      </c>
      <c r="F56" s="25" t="s">
        <v>421</v>
      </c>
      <c r="G56" s="3" t="s">
        <v>10</v>
      </c>
      <c r="H56" s="106" t="str">
        <f>VLOOKUP(A56,'Çalışan Listesi'!A:G,7,0)</f>
        <v>3.KADEME</v>
      </c>
      <c r="I56" s="65">
        <f>IFERROR(VLOOKUP(A56,'Kaizen Listesi'!A:H,8,0),0)</f>
        <v>33.333333333333336</v>
      </c>
      <c r="J56" s="65">
        <f>I56*VLOOKUP($I$2,'Kriter Ağırlık'!$A$1:$B$8,2,0)</f>
        <v>4</v>
      </c>
      <c r="K56" s="65">
        <f>IFERROR(VLOOKUP(A56,'Hata Kartı '!A:H,8,0),0)</f>
        <v>100</v>
      </c>
      <c r="L56" s="65">
        <f>K56*(VLOOKUP($K$2,'Kriter Ağırlık'!$A$1:$B$8,2,0))</f>
        <v>10</v>
      </c>
      <c r="M56" s="65">
        <f>IFERROR(VLOOKUP(F56,'5S'!$B$8:$E$19,4,0),0)</f>
        <v>1</v>
      </c>
      <c r="N56" s="65">
        <f>VLOOKUP(M56,'5S'!$G$8:$I$14,3,1)*VLOOKUP($M$2,'Kriter Ağırlık'!$A$1:$B$8,2,0)*E56*X56</f>
        <v>8</v>
      </c>
      <c r="O56" s="1">
        <f>IFERROR(VLOOKUP(A56,Devamsızlıklar!A:K,10,0),0)</f>
        <v>0</v>
      </c>
      <c r="P56" s="40">
        <f>VLOOKUP(O56,Aralıklar!$A$2:$C$5,3,1)*VLOOKUP($O$2,'Kriter Ağırlık'!$A$1:$B$8,2,0)*E56*X56</f>
        <v>10</v>
      </c>
      <c r="Q56" s="1">
        <f>IFERROR(VLOOKUP(A56,Devamsızlıklar!A:K,8,0),0)</f>
        <v>0</v>
      </c>
      <c r="R56" s="33">
        <f>VLOOKUP(Q56,Aralıklar!$E$2:$G$5,3,1)</f>
        <v>1</v>
      </c>
      <c r="S56" s="33">
        <f>IFERROR(VLOOKUP(A56,Devamsızlıklar!A:K,9,0),0)</f>
        <v>0</v>
      </c>
      <c r="T56" s="33">
        <f>VLOOKUP(S56,Aralıklar!$I$2:$K$6,3,1)</f>
        <v>50</v>
      </c>
      <c r="U56" s="33">
        <f>IFERROR(VLOOKUP(A56,Devamsızlıklar!A:K,11,0),0)</f>
        <v>0</v>
      </c>
      <c r="V56" s="33">
        <f>VLOOKUP(U56,Aralıklar!$M$2:$O$6,3,1)</f>
        <v>50</v>
      </c>
      <c r="W56" s="40">
        <f>IF(X56=0,0,(T56+V56)*R56*VLOOKUP($W$2,'Kriter Ağırlık'!$A$1:$B$8,2,1)*E56)</f>
        <v>10</v>
      </c>
      <c r="X56" s="40">
        <f>IFERROR(VLOOKUP(A56,Devamsızlıklar!A:M,13,0),1)</f>
        <v>1</v>
      </c>
      <c r="Y56" s="40">
        <f>(OEE!$K$6*VLOOKUP($Y$2,'Kriter Ağırlık'!$A$1:$B$8,2,1))*X56*E56</f>
        <v>35</v>
      </c>
      <c r="Z56" s="40">
        <f>(TELEF!$I$10*VLOOKUP($Z$2,'Kriter Ağırlık'!$A$1:$B$8,2,1))*X56*E56</f>
        <v>15</v>
      </c>
      <c r="AA56" s="40">
        <f t="shared" si="2"/>
        <v>92</v>
      </c>
      <c r="AB56" s="1">
        <v>5</v>
      </c>
      <c r="AC56" s="33">
        <f>VLOOKUP(AB56,'Kriter Ağırlık'!$A$12:$C$17,3,0)</f>
        <v>18.5</v>
      </c>
      <c r="AD56" s="1">
        <v>3</v>
      </c>
      <c r="AE56" s="33">
        <f>VLOOKUP(AD56,'Kriter Ağırlık'!$E$12:$G$24,3,0)</f>
        <v>1.1499999999999999</v>
      </c>
      <c r="AF56" s="92">
        <f t="shared" si="3"/>
        <v>1957.3</v>
      </c>
      <c r="AG56" t="str">
        <f>VLOOKUP(A56,'Çalışan Listesi'!A:G,6,0)</f>
        <v>OPERATÖR</v>
      </c>
    </row>
    <row r="57" spans="1:33" x14ac:dyDescent="0.2">
      <c r="A57" s="2">
        <v>317</v>
      </c>
      <c r="B57" s="3" t="s">
        <v>82</v>
      </c>
      <c r="C57" s="4">
        <v>38411</v>
      </c>
      <c r="D57" s="5">
        <f t="shared" si="6"/>
        <v>90</v>
      </c>
      <c r="E57" s="6">
        <f t="shared" si="1"/>
        <v>1</v>
      </c>
      <c r="F57" s="25" t="s">
        <v>425</v>
      </c>
      <c r="G57" s="3" t="s">
        <v>28</v>
      </c>
      <c r="H57" s="106" t="str">
        <f>VLOOKUP(A57,'Çalışan Listesi'!A:G,7,0)</f>
        <v>3.KADEME</v>
      </c>
      <c r="I57" s="65">
        <f>IFERROR(VLOOKUP(A57,'Kaizen Listesi'!A:H,8,0),0)</f>
        <v>0</v>
      </c>
      <c r="J57" s="65">
        <f>I57*VLOOKUP($I$2,'Kriter Ağırlık'!$A$1:$B$8,2,0)</f>
        <v>0</v>
      </c>
      <c r="K57" s="65">
        <f>IFERROR(VLOOKUP(A57,'Hata Kartı '!A:H,8,0),0)</f>
        <v>33.333333333333336</v>
      </c>
      <c r="L57" s="65">
        <f>K57*(VLOOKUP($K$2,'Kriter Ağırlık'!$A$1:$B$8,2,0))</f>
        <v>3.3333333333333339</v>
      </c>
      <c r="M57" s="65">
        <f>IFERROR(VLOOKUP(F57,'5S'!$B$8:$E$19,4,0),0)</f>
        <v>1</v>
      </c>
      <c r="N57" s="65">
        <f>VLOOKUP(M57,'5S'!$G$8:$I$14,3,1)*VLOOKUP($M$2,'Kriter Ağırlık'!$A$1:$B$8,2,0)*E57*X57</f>
        <v>7.3777777777777782</v>
      </c>
      <c r="O57" s="1">
        <f>IFERROR(VLOOKUP(A57,Devamsızlıklar!A:K,10,0),0)</f>
        <v>0</v>
      </c>
      <c r="P57" s="40">
        <f>VLOOKUP(O57,Aralıklar!$A$2:$C$5,3,1)*VLOOKUP($O$2,'Kriter Ağırlık'!$A$1:$B$8,2,0)*E57*X57</f>
        <v>9.2222222222222232</v>
      </c>
      <c r="Q57" s="1">
        <f>IFERROR(VLOOKUP(A57,Devamsızlıklar!A:K,8,0),0)</f>
        <v>0</v>
      </c>
      <c r="R57" s="33">
        <f>VLOOKUP(Q57,Aralıklar!$E$2:$G$5,3,1)</f>
        <v>1</v>
      </c>
      <c r="S57" s="33">
        <f>IFERROR(VLOOKUP(A57,Devamsızlıklar!A:K,9,0),0)</f>
        <v>0</v>
      </c>
      <c r="T57" s="33">
        <f>VLOOKUP(S57,Aralıklar!$I$2:$K$6,3,1)</f>
        <v>50</v>
      </c>
      <c r="U57" s="33">
        <f>IFERROR(VLOOKUP(A57,Devamsızlıklar!A:K,11,0),0)</f>
        <v>0</v>
      </c>
      <c r="V57" s="33">
        <f>VLOOKUP(U57,Aralıklar!$M$2:$O$6,3,1)</f>
        <v>50</v>
      </c>
      <c r="W57" s="40">
        <f>IF(X57=0,0,(T57+V57)*R57*VLOOKUP($W$2,'Kriter Ağırlık'!$A$1:$B$8,2,1)*E57)</f>
        <v>10</v>
      </c>
      <c r="X57" s="40">
        <f>IFERROR(VLOOKUP(A57,Devamsızlıklar!A:M,13,0),1)</f>
        <v>0.92222222222222228</v>
      </c>
      <c r="Y57" s="40">
        <f>(OEE!$K$6*VLOOKUP($Y$2,'Kriter Ağırlık'!$A$1:$B$8,2,1))*X57*E57</f>
        <v>32.277777777777779</v>
      </c>
      <c r="Z57" s="40">
        <f>(TELEF!$I$10*VLOOKUP($Z$2,'Kriter Ağırlık'!$A$1:$B$8,2,1))*X57*E57</f>
        <v>13.833333333333334</v>
      </c>
      <c r="AA57" s="40">
        <f t="shared" si="2"/>
        <v>76.044444444444451</v>
      </c>
      <c r="AB57" s="1">
        <v>3</v>
      </c>
      <c r="AC57" s="33">
        <f>VLOOKUP(AB57,'Kriter Ağırlık'!$A$12:$C$17,3,0)</f>
        <v>0</v>
      </c>
      <c r="AD57" s="1">
        <v>10</v>
      </c>
      <c r="AE57" s="33">
        <f>VLOOKUP(AD57,'Kriter Ağırlık'!$E$12:$G$24,3,0)</f>
        <v>1.3779999999999999</v>
      </c>
      <c r="AF57" s="92">
        <f t="shared" si="3"/>
        <v>0</v>
      </c>
      <c r="AG57" t="str">
        <f>VLOOKUP(A57,'Çalışan Listesi'!A:G,6,0)</f>
        <v>TAKIM LİDERİ</v>
      </c>
    </row>
    <row r="58" spans="1:33" x14ac:dyDescent="0.2">
      <c r="A58" s="2">
        <v>319</v>
      </c>
      <c r="B58" s="3" t="s">
        <v>83</v>
      </c>
      <c r="C58" s="4">
        <v>38435</v>
      </c>
      <c r="D58" s="5">
        <f t="shared" si="6"/>
        <v>90</v>
      </c>
      <c r="E58" s="6">
        <f t="shared" si="1"/>
        <v>1</v>
      </c>
      <c r="F58" s="25" t="s">
        <v>421</v>
      </c>
      <c r="G58" s="3" t="s">
        <v>59</v>
      </c>
      <c r="H58" s="106" t="str">
        <f>VLOOKUP(A58,'Çalışan Listesi'!A:G,7,0)</f>
        <v>4.KADEME</v>
      </c>
      <c r="I58" s="65">
        <f>IFERROR(VLOOKUP(A58,'Kaizen Listesi'!A:H,8,0),0)</f>
        <v>0</v>
      </c>
      <c r="J58" s="65">
        <f>I58*VLOOKUP($I$2,'Kriter Ağırlık'!$A$1:$B$8,2,0)</f>
        <v>0</v>
      </c>
      <c r="K58" s="65">
        <f>IFERROR(VLOOKUP(A58,'Hata Kartı '!A:H,8,0),0)</f>
        <v>0</v>
      </c>
      <c r="L58" s="65">
        <f>K58*(VLOOKUP($K$2,'Kriter Ağırlık'!$A$1:$B$8,2,0))</f>
        <v>0</v>
      </c>
      <c r="M58" s="65">
        <f>IFERROR(VLOOKUP(F58,'5S'!$B$8:$E$19,4,0),0)</f>
        <v>1</v>
      </c>
      <c r="N58" s="65">
        <f>VLOOKUP(M58,'5S'!$G$8:$I$14,3,1)*VLOOKUP($M$2,'Kriter Ağırlık'!$A$1:$B$8,2,0)*E58*X58</f>
        <v>8</v>
      </c>
      <c r="O58" s="1">
        <f>IFERROR(VLOOKUP(A58,Devamsızlıklar!A:K,10,0),0)</f>
        <v>0</v>
      </c>
      <c r="P58" s="40">
        <f>VLOOKUP(O58,Aralıklar!$A$2:$C$5,3,1)*VLOOKUP($O$2,'Kriter Ağırlık'!$A$1:$B$8,2,0)*E58*X58</f>
        <v>10</v>
      </c>
      <c r="Q58" s="1">
        <f>IFERROR(VLOOKUP(A58,Devamsızlıklar!A:K,8,0),0)</f>
        <v>0</v>
      </c>
      <c r="R58" s="33">
        <f>VLOOKUP(Q58,Aralıklar!$E$2:$G$5,3,1)</f>
        <v>1</v>
      </c>
      <c r="S58" s="33">
        <f>IFERROR(VLOOKUP(A58,Devamsızlıklar!A:K,9,0),0)</f>
        <v>0</v>
      </c>
      <c r="T58" s="33">
        <f>VLOOKUP(S58,Aralıklar!$I$2:$K$6,3,1)</f>
        <v>50</v>
      </c>
      <c r="U58" s="33">
        <f>IFERROR(VLOOKUP(A58,Devamsızlıklar!A:K,11,0),0)</f>
        <v>0</v>
      </c>
      <c r="V58" s="33">
        <f>VLOOKUP(U58,Aralıklar!$M$2:$O$6,3,1)</f>
        <v>50</v>
      </c>
      <c r="W58" s="40">
        <f>IF(X58=0,0,(T58+V58)*R58*VLOOKUP($W$2,'Kriter Ağırlık'!$A$1:$B$8,2,1)*E58)</f>
        <v>10</v>
      </c>
      <c r="X58" s="40">
        <f>IFERROR(VLOOKUP(A58,Devamsızlıklar!A:M,13,0),1)</f>
        <v>1</v>
      </c>
      <c r="Y58" s="40">
        <f>(OEE!$K$6*VLOOKUP($Y$2,'Kriter Ağırlık'!$A$1:$B$8,2,1))*X58*E58</f>
        <v>35</v>
      </c>
      <c r="Z58" s="40">
        <f>(TELEF!$I$10*VLOOKUP($Z$2,'Kriter Ağırlık'!$A$1:$B$8,2,1))*X58*E58</f>
        <v>15</v>
      </c>
      <c r="AA58" s="40">
        <f t="shared" si="2"/>
        <v>78</v>
      </c>
      <c r="AB58" s="1">
        <v>2</v>
      </c>
      <c r="AC58" s="33">
        <f>VLOOKUP(AB58,'Kriter Ağırlık'!$A$12:$C$17,3,0)</f>
        <v>0</v>
      </c>
      <c r="AD58" s="1">
        <v>2</v>
      </c>
      <c r="AE58" s="33">
        <f>VLOOKUP(AD58,'Kriter Ağırlık'!$E$12:$G$24,3,0)</f>
        <v>1.232</v>
      </c>
      <c r="AF58" s="92">
        <f t="shared" si="3"/>
        <v>0</v>
      </c>
      <c r="AG58" t="str">
        <f>VLOOKUP(A58,'Çalışan Listesi'!A:G,6,0)</f>
        <v>GRUP LİDERİ</v>
      </c>
    </row>
    <row r="59" spans="1:33" x14ac:dyDescent="0.2">
      <c r="A59" s="2">
        <v>329</v>
      </c>
      <c r="B59" s="3" t="s">
        <v>84</v>
      </c>
      <c r="C59" s="4">
        <v>38530</v>
      </c>
      <c r="D59" s="5">
        <f t="shared" si="6"/>
        <v>90</v>
      </c>
      <c r="E59" s="6">
        <f t="shared" si="1"/>
        <v>1</v>
      </c>
      <c r="F59" s="25" t="s">
        <v>421</v>
      </c>
      <c r="G59" s="3" t="s">
        <v>48</v>
      </c>
      <c r="H59" s="106" t="str">
        <f>VLOOKUP(A59,'Çalışan Listesi'!A:G,7,0)</f>
        <v>4.KADEME</v>
      </c>
      <c r="I59" s="65">
        <f>IFERROR(VLOOKUP(A59,'Kaizen Listesi'!A:H,8,0),0)</f>
        <v>0</v>
      </c>
      <c r="J59" s="65">
        <f>I59*VLOOKUP($I$2,'Kriter Ağırlık'!$A$1:$B$8,2,0)</f>
        <v>0</v>
      </c>
      <c r="K59" s="65">
        <f>IFERROR(VLOOKUP(A59,'Hata Kartı '!A:H,8,0),0)</f>
        <v>33.333333333333336</v>
      </c>
      <c r="L59" s="65">
        <f>K59*(VLOOKUP($K$2,'Kriter Ağırlık'!$A$1:$B$8,2,0))</f>
        <v>3.3333333333333339</v>
      </c>
      <c r="M59" s="65">
        <f>IFERROR(VLOOKUP(F59,'5S'!$B$8:$E$19,4,0),0)</f>
        <v>1</v>
      </c>
      <c r="N59" s="65">
        <f>VLOOKUP(M59,'5S'!$G$8:$I$14,3,1)*VLOOKUP($M$2,'Kriter Ağırlık'!$A$1:$B$8,2,0)*E59*X59</f>
        <v>8</v>
      </c>
      <c r="O59" s="1">
        <f>IFERROR(VLOOKUP(A59,Devamsızlıklar!A:K,10,0),0)</f>
        <v>0</v>
      </c>
      <c r="P59" s="40">
        <f>VLOOKUP(O59,Aralıklar!$A$2:$C$5,3,1)*VLOOKUP($O$2,'Kriter Ağırlık'!$A$1:$B$8,2,0)*E59*X59</f>
        <v>10</v>
      </c>
      <c r="Q59" s="1">
        <f>IFERROR(VLOOKUP(A59,Devamsızlıklar!A:K,8,0),0)</f>
        <v>0</v>
      </c>
      <c r="R59" s="33">
        <f>VLOOKUP(Q59,Aralıklar!$E$2:$G$5,3,1)</f>
        <v>1</v>
      </c>
      <c r="S59" s="33">
        <f>IFERROR(VLOOKUP(A59,Devamsızlıklar!A:K,9,0),0)</f>
        <v>0</v>
      </c>
      <c r="T59" s="33">
        <f>VLOOKUP(S59,Aralıklar!$I$2:$K$6,3,1)</f>
        <v>50</v>
      </c>
      <c r="U59" s="33">
        <f>IFERROR(VLOOKUP(A59,Devamsızlıklar!A:K,11,0),0)</f>
        <v>0</v>
      </c>
      <c r="V59" s="33">
        <f>VLOOKUP(U59,Aralıklar!$M$2:$O$6,3,1)</f>
        <v>50</v>
      </c>
      <c r="W59" s="40">
        <f>IF(X59=0,0,(T59+V59)*R59*VLOOKUP($W$2,'Kriter Ağırlık'!$A$1:$B$8,2,1)*E59)</f>
        <v>10</v>
      </c>
      <c r="X59" s="40">
        <f>IFERROR(VLOOKUP(A59,Devamsızlıklar!A:M,13,0),1)</f>
        <v>1</v>
      </c>
      <c r="Y59" s="40">
        <f>(OEE!$K$6*VLOOKUP($Y$2,'Kriter Ağırlık'!$A$1:$B$8,2,1))*X59*E59</f>
        <v>35</v>
      </c>
      <c r="Z59" s="40">
        <f>(TELEF!$I$10*VLOOKUP($Z$2,'Kriter Ağırlık'!$A$1:$B$8,2,1))*X59*E59</f>
        <v>15</v>
      </c>
      <c r="AA59" s="40">
        <f t="shared" si="2"/>
        <v>81.333333333333343</v>
      </c>
      <c r="AB59" s="1">
        <v>3</v>
      </c>
      <c r="AC59" s="33">
        <f>VLOOKUP(AB59,'Kriter Ağırlık'!$A$12:$C$17,3,0)</f>
        <v>0</v>
      </c>
      <c r="AD59" s="1">
        <v>2</v>
      </c>
      <c r="AE59" s="33">
        <f>VLOOKUP(AD59,'Kriter Ağırlık'!$E$12:$G$24,3,0)</f>
        <v>1.232</v>
      </c>
      <c r="AF59" s="92">
        <f t="shared" si="3"/>
        <v>0</v>
      </c>
      <c r="AG59" t="str">
        <f>VLOOKUP(A59,'Çalışan Listesi'!A:G,6,0)</f>
        <v>TAKIM LİDERİ</v>
      </c>
    </row>
    <row r="60" spans="1:33" x14ac:dyDescent="0.2">
      <c r="A60" s="2">
        <v>340</v>
      </c>
      <c r="B60" s="3" t="s">
        <v>85</v>
      </c>
      <c r="C60" s="4">
        <v>41911</v>
      </c>
      <c r="D60" s="5">
        <f t="shared" si="6"/>
        <v>90</v>
      </c>
      <c r="E60" s="6">
        <f t="shared" si="1"/>
        <v>1</v>
      </c>
      <c r="F60" s="25" t="s">
        <v>421</v>
      </c>
      <c r="G60" s="3" t="s">
        <v>86</v>
      </c>
      <c r="H60" s="106" t="str">
        <f>VLOOKUP(A60,'Çalışan Listesi'!A:G,7,0)</f>
        <v>3.KADEME</v>
      </c>
      <c r="I60" s="65">
        <f>IFERROR(VLOOKUP(A60,'Kaizen Listesi'!A:H,8,0),0)</f>
        <v>0</v>
      </c>
      <c r="J60" s="65">
        <f>I60*VLOOKUP($I$2,'Kriter Ağırlık'!$A$1:$B$8,2,0)</f>
        <v>0</v>
      </c>
      <c r="K60" s="65">
        <f>IFERROR(VLOOKUP(A60,'Hata Kartı '!A:H,8,0),0)</f>
        <v>50</v>
      </c>
      <c r="L60" s="65">
        <f>K60*(VLOOKUP($K$2,'Kriter Ağırlık'!$A$1:$B$8,2,0))</f>
        <v>5</v>
      </c>
      <c r="M60" s="65">
        <f>IFERROR(VLOOKUP(F60,'5S'!$B$8:$E$19,4,0),0)</f>
        <v>1</v>
      </c>
      <c r="N60" s="65">
        <f>VLOOKUP(M60,'5S'!$G$8:$I$14,3,1)*VLOOKUP($M$2,'Kriter Ağırlık'!$A$1:$B$8,2,0)*E60*X60</f>
        <v>7.3777777777777782</v>
      </c>
      <c r="O60" s="1">
        <f>IFERROR(VLOOKUP(A60,Devamsızlıklar!A:K,10,0),0)</f>
        <v>0</v>
      </c>
      <c r="P60" s="40">
        <f>VLOOKUP(O60,Aralıklar!$A$2:$C$5,3,1)*VLOOKUP($O$2,'Kriter Ağırlık'!$A$1:$B$8,2,0)*E60*X60</f>
        <v>9.2222222222222232</v>
      </c>
      <c r="Q60" s="1">
        <f>IFERROR(VLOOKUP(A60,Devamsızlıklar!A:K,8,0),0)</f>
        <v>0</v>
      </c>
      <c r="R60" s="33">
        <f>VLOOKUP(Q60,Aralıklar!$E$2:$G$5,3,1)</f>
        <v>1</v>
      </c>
      <c r="S60" s="33">
        <f>IFERROR(VLOOKUP(A60,Devamsızlıklar!A:K,9,0),0)</f>
        <v>0</v>
      </c>
      <c r="T60" s="33">
        <f>VLOOKUP(S60,Aralıklar!$I$2:$K$6,3,1)</f>
        <v>50</v>
      </c>
      <c r="U60" s="33">
        <f>IFERROR(VLOOKUP(A60,Devamsızlıklar!A:K,11,0),0)</f>
        <v>0</v>
      </c>
      <c r="V60" s="33">
        <f>VLOOKUP(U60,Aralıklar!$M$2:$O$6,3,1)</f>
        <v>50</v>
      </c>
      <c r="W60" s="40">
        <f>IF(X60=0,0,(T60+V60)*R60*VLOOKUP($W$2,'Kriter Ağırlık'!$A$1:$B$8,2,1)*E60)</f>
        <v>10</v>
      </c>
      <c r="X60" s="40">
        <f>IFERROR(VLOOKUP(A60,Devamsızlıklar!A:M,13,0),1)</f>
        <v>0.92222222222222228</v>
      </c>
      <c r="Y60" s="40">
        <f>(OEE!$K$6*VLOOKUP($Y$2,'Kriter Ağırlık'!$A$1:$B$8,2,1))*X60*E60</f>
        <v>32.277777777777779</v>
      </c>
      <c r="Z60" s="40">
        <f>(TELEF!$I$10*VLOOKUP($Z$2,'Kriter Ağırlık'!$A$1:$B$8,2,1))*X60*E60</f>
        <v>13.833333333333334</v>
      </c>
      <c r="AA60" s="40">
        <f t="shared" si="2"/>
        <v>77.711111111111109</v>
      </c>
      <c r="AB60" s="1">
        <v>5</v>
      </c>
      <c r="AC60" s="33">
        <f>VLOOKUP(AB60,'Kriter Ağırlık'!$A$12:$C$17,3,0)</f>
        <v>18.5</v>
      </c>
      <c r="AD60" s="1">
        <v>3</v>
      </c>
      <c r="AE60" s="33">
        <f>VLOOKUP(AD60,'Kriter Ağırlık'!$E$12:$G$24,3,0)</f>
        <v>1.1499999999999999</v>
      </c>
      <c r="AF60" s="92">
        <f t="shared" si="3"/>
        <v>1653.3038888888889</v>
      </c>
      <c r="AG60" t="str">
        <f>VLOOKUP(A60,'Çalışan Listesi'!A:G,6,0)</f>
        <v>OPERATÖR</v>
      </c>
    </row>
    <row r="61" spans="1:33" x14ac:dyDescent="0.2">
      <c r="A61" s="2">
        <v>354</v>
      </c>
      <c r="B61" s="3" t="s">
        <v>87</v>
      </c>
      <c r="C61" s="4">
        <v>38670</v>
      </c>
      <c r="D61" s="5">
        <f t="shared" si="6"/>
        <v>90</v>
      </c>
      <c r="E61" s="6">
        <f t="shared" si="1"/>
        <v>1</v>
      </c>
      <c r="F61" s="25" t="s">
        <v>421</v>
      </c>
      <c r="G61" s="3" t="s">
        <v>10</v>
      </c>
      <c r="H61" s="106" t="str">
        <f>VLOOKUP(A61,'Çalışan Listesi'!A:G,7,0)</f>
        <v>3.KADEME</v>
      </c>
      <c r="I61" s="65">
        <f>IFERROR(VLOOKUP(A61,'Kaizen Listesi'!A:H,8,0),0)</f>
        <v>0</v>
      </c>
      <c r="J61" s="65">
        <f>I61*VLOOKUP($I$2,'Kriter Ağırlık'!$A$1:$B$8,2,0)</f>
        <v>0</v>
      </c>
      <c r="K61" s="65">
        <f>IFERROR(VLOOKUP(A61,'Hata Kartı '!A:H,8,0),0)</f>
        <v>33.333333333333336</v>
      </c>
      <c r="L61" s="65">
        <f>K61*(VLOOKUP($K$2,'Kriter Ağırlık'!$A$1:$B$8,2,0))</f>
        <v>3.3333333333333339</v>
      </c>
      <c r="M61" s="65">
        <f>IFERROR(VLOOKUP(F61,'5S'!$B$8:$E$19,4,0),0)</f>
        <v>1</v>
      </c>
      <c r="N61" s="65">
        <f>VLOOKUP(M61,'5S'!$G$8:$I$14,3,1)*VLOOKUP($M$2,'Kriter Ağırlık'!$A$1:$B$8,2,0)*E61*X61</f>
        <v>8</v>
      </c>
      <c r="O61" s="1">
        <f>IFERROR(VLOOKUP(A61,Devamsızlıklar!A:K,10,0),0)</f>
        <v>0</v>
      </c>
      <c r="P61" s="40">
        <f>VLOOKUP(O61,Aralıklar!$A$2:$C$5,3,1)*VLOOKUP($O$2,'Kriter Ağırlık'!$A$1:$B$8,2,0)*E61*X61</f>
        <v>10</v>
      </c>
      <c r="Q61" s="1">
        <f>IFERROR(VLOOKUP(A61,Devamsızlıklar!A:K,8,0),0)</f>
        <v>0</v>
      </c>
      <c r="R61" s="33">
        <f>VLOOKUP(Q61,Aralıklar!$E$2:$G$5,3,1)</f>
        <v>1</v>
      </c>
      <c r="S61" s="33">
        <f>IFERROR(VLOOKUP(A61,Devamsızlıklar!A:K,9,0),0)</f>
        <v>0</v>
      </c>
      <c r="T61" s="33">
        <f>VLOOKUP(S61,Aralıklar!$I$2:$K$6,3,1)</f>
        <v>50</v>
      </c>
      <c r="U61" s="33">
        <f>IFERROR(VLOOKUP(A61,Devamsızlıklar!A:K,11,0),0)</f>
        <v>0</v>
      </c>
      <c r="V61" s="33">
        <f>VLOOKUP(U61,Aralıklar!$M$2:$O$6,3,1)</f>
        <v>50</v>
      </c>
      <c r="W61" s="40">
        <f>IF(X61=0,0,(T61+V61)*R61*VLOOKUP($W$2,'Kriter Ağırlık'!$A$1:$B$8,2,1)*E61)</f>
        <v>10</v>
      </c>
      <c r="X61" s="40">
        <f>IFERROR(VLOOKUP(A61,Devamsızlıklar!A:M,13,0),1)</f>
        <v>1</v>
      </c>
      <c r="Y61" s="40">
        <f>(OEE!$K$6*VLOOKUP($Y$2,'Kriter Ağırlık'!$A$1:$B$8,2,1))*X61*E61</f>
        <v>35</v>
      </c>
      <c r="Z61" s="40">
        <f>(TELEF!$I$10*VLOOKUP($Z$2,'Kriter Ağırlık'!$A$1:$B$8,2,1))*X61*E61</f>
        <v>15</v>
      </c>
      <c r="AA61" s="40">
        <f t="shared" si="2"/>
        <v>81.333333333333343</v>
      </c>
      <c r="AB61" s="1">
        <v>5</v>
      </c>
      <c r="AC61" s="33">
        <f>VLOOKUP(AB61,'Kriter Ağırlık'!$A$12:$C$17,3,0)</f>
        <v>18.5</v>
      </c>
      <c r="AD61" s="76">
        <v>3</v>
      </c>
      <c r="AE61" s="33">
        <f>VLOOKUP(AD61,'Kriter Ağırlık'!$E$12:$G$24,3,0)</f>
        <v>1.1499999999999999</v>
      </c>
      <c r="AF61" s="92">
        <f t="shared" si="3"/>
        <v>1730.3666666666666</v>
      </c>
      <c r="AG61" t="str">
        <f>VLOOKUP(A61,'Çalışan Listesi'!A:G,6,0)</f>
        <v>OPERATÖR</v>
      </c>
    </row>
    <row r="62" spans="1:33" x14ac:dyDescent="0.2">
      <c r="A62" s="2">
        <v>380</v>
      </c>
      <c r="B62" s="3" t="s">
        <v>88</v>
      </c>
      <c r="C62" s="4">
        <v>40582</v>
      </c>
      <c r="D62" s="5">
        <f t="shared" si="6"/>
        <v>90</v>
      </c>
      <c r="E62" s="6">
        <f t="shared" si="1"/>
        <v>1</v>
      </c>
      <c r="F62" s="25" t="s">
        <v>421</v>
      </c>
      <c r="G62" s="3" t="s">
        <v>10</v>
      </c>
      <c r="H62" s="106" t="str">
        <f>VLOOKUP(A62,'Çalışan Listesi'!A:G,7,0)</f>
        <v>3.KADEME</v>
      </c>
      <c r="I62" s="65">
        <f>IFERROR(VLOOKUP(A62,'Kaizen Listesi'!A:H,8,0),0)</f>
        <v>0</v>
      </c>
      <c r="J62" s="65">
        <f>I62*VLOOKUP($I$2,'Kriter Ağırlık'!$A$1:$B$8,2,0)</f>
        <v>0</v>
      </c>
      <c r="K62" s="65">
        <f>IFERROR(VLOOKUP(A62,'Hata Kartı '!A:H,8,0),0)</f>
        <v>0</v>
      </c>
      <c r="L62" s="65">
        <f>K62*(VLOOKUP($K$2,'Kriter Ağırlık'!$A$1:$B$8,2,0))</f>
        <v>0</v>
      </c>
      <c r="M62" s="65">
        <f>IFERROR(VLOOKUP(F62,'5S'!$B$8:$E$19,4,0),0)</f>
        <v>1</v>
      </c>
      <c r="N62" s="65">
        <f>VLOOKUP(M62,'5S'!$G$8:$I$14,3,1)*VLOOKUP($M$2,'Kriter Ağırlık'!$A$1:$B$8,2,0)*E62*X62</f>
        <v>7.2888888888888888</v>
      </c>
      <c r="O62" s="1">
        <f>IFERROR(VLOOKUP(A62,Devamsızlıklar!A:K,10,0),0)</f>
        <v>0</v>
      </c>
      <c r="P62" s="40">
        <f>VLOOKUP(O62,Aralıklar!$A$2:$C$5,3,1)*VLOOKUP($O$2,'Kriter Ağırlık'!$A$1:$B$8,2,0)*E62*X62</f>
        <v>9.1111111111111107</v>
      </c>
      <c r="Q62" s="1">
        <f>IFERROR(VLOOKUP(A62,Devamsızlıklar!A:K,8,0),0)</f>
        <v>0</v>
      </c>
      <c r="R62" s="33">
        <f>VLOOKUP(Q62,Aralıklar!$E$2:$G$5,3,1)</f>
        <v>1</v>
      </c>
      <c r="S62" s="33">
        <f>IFERROR(VLOOKUP(A62,Devamsızlıklar!A:K,9,0),0)</f>
        <v>0</v>
      </c>
      <c r="T62" s="33">
        <f>VLOOKUP(S62,Aralıklar!$I$2:$K$6,3,1)</f>
        <v>50</v>
      </c>
      <c r="U62" s="33">
        <f>IFERROR(VLOOKUP(A62,Devamsızlıklar!A:K,11,0),0)</f>
        <v>1</v>
      </c>
      <c r="V62" s="33">
        <f>VLOOKUP(U62,Aralıklar!$M$2:$O$6,3,1)</f>
        <v>50</v>
      </c>
      <c r="W62" s="40">
        <f>IF(X62=0,0,(T62+V62)*R62*VLOOKUP($W$2,'Kriter Ağırlık'!$A$1:$B$8,2,1)*E62)</f>
        <v>10</v>
      </c>
      <c r="X62" s="40">
        <f>IFERROR(VLOOKUP(A62,Devamsızlıklar!A:M,13,0),1)</f>
        <v>0.91111111111111109</v>
      </c>
      <c r="Y62" s="40">
        <f>(OEE!$K$6*VLOOKUP($Y$2,'Kriter Ağırlık'!$A$1:$B$8,2,1))*X62*E62</f>
        <v>31.888888888888889</v>
      </c>
      <c r="Z62" s="40">
        <f>(TELEF!$I$10*VLOOKUP($Z$2,'Kriter Ağırlık'!$A$1:$B$8,2,1))*X62*E62</f>
        <v>13.666666666666666</v>
      </c>
      <c r="AA62" s="40">
        <f t="shared" si="2"/>
        <v>71.955555555555563</v>
      </c>
      <c r="AB62" s="1">
        <v>5</v>
      </c>
      <c r="AC62" s="33">
        <f>VLOOKUP(AB62,'Kriter Ağırlık'!$A$12:$C$17,3,0)</f>
        <v>18.5</v>
      </c>
      <c r="AD62" s="1">
        <v>3</v>
      </c>
      <c r="AE62" s="33">
        <f>VLOOKUP(AD62,'Kriter Ağırlık'!$E$12:$G$24,3,0)</f>
        <v>1.1499999999999999</v>
      </c>
      <c r="AF62" s="92">
        <f t="shared" si="3"/>
        <v>1530.8544444444444</v>
      </c>
      <c r="AG62" t="str">
        <f>VLOOKUP(A62,'Çalışan Listesi'!A:G,6,0)</f>
        <v>OPERATÖR</v>
      </c>
    </row>
    <row r="63" spans="1:33" x14ac:dyDescent="0.2">
      <c r="A63" s="2">
        <v>387</v>
      </c>
      <c r="B63" s="3" t="s">
        <v>89</v>
      </c>
      <c r="C63" s="4">
        <v>38992</v>
      </c>
      <c r="D63" s="5">
        <f t="shared" si="6"/>
        <v>90</v>
      </c>
      <c r="E63" s="6">
        <f t="shared" si="1"/>
        <v>1</v>
      </c>
      <c r="F63" s="25" t="s">
        <v>422</v>
      </c>
      <c r="G63" s="3" t="s">
        <v>90</v>
      </c>
      <c r="H63" s="106" t="str">
        <f>VLOOKUP(A63,'Çalışan Listesi'!A:G,7,0)</f>
        <v>4.KADEME</v>
      </c>
      <c r="I63" s="65">
        <f>IFERROR(VLOOKUP(A63,'Kaizen Listesi'!A:H,8,0),0)</f>
        <v>0</v>
      </c>
      <c r="J63" s="65">
        <f>I63*VLOOKUP($I$2,'Kriter Ağırlık'!$A$1:$B$8,2,0)</f>
        <v>0</v>
      </c>
      <c r="K63" s="65">
        <f>IFERROR(VLOOKUP(A63,'Hata Kartı '!A:H,8,0),0)</f>
        <v>0</v>
      </c>
      <c r="L63" s="65">
        <f>K63*(VLOOKUP($K$2,'Kriter Ağırlık'!$A$1:$B$8,2,0))</f>
        <v>0</v>
      </c>
      <c r="M63" s="65">
        <f>IFERROR(VLOOKUP(F63,'5S'!$B$8:$E$19,4,0),0)</f>
        <v>1</v>
      </c>
      <c r="N63" s="65">
        <f>VLOOKUP(M63,'5S'!$G$8:$I$14,3,1)*VLOOKUP($M$2,'Kriter Ağırlık'!$A$1:$B$8,2,0)*E63*X63</f>
        <v>8</v>
      </c>
      <c r="O63" s="1">
        <f>IFERROR(VLOOKUP(A63,Devamsızlıklar!A:K,10,0),0)</f>
        <v>0</v>
      </c>
      <c r="P63" s="40">
        <f>VLOOKUP(O63,Aralıklar!$A$2:$C$5,3,1)*VLOOKUP($O$2,'Kriter Ağırlık'!$A$1:$B$8,2,0)*E63*X63</f>
        <v>10</v>
      </c>
      <c r="Q63" s="1">
        <f>IFERROR(VLOOKUP(A63,Devamsızlıklar!A:K,8,0),0)</f>
        <v>0</v>
      </c>
      <c r="R63" s="33">
        <f>VLOOKUP(Q63,Aralıklar!$E$2:$G$5,3,1)</f>
        <v>1</v>
      </c>
      <c r="S63" s="33">
        <f>IFERROR(VLOOKUP(A63,Devamsızlıklar!A:K,9,0),0)</f>
        <v>0</v>
      </c>
      <c r="T63" s="33">
        <f>VLOOKUP(S63,Aralıklar!$I$2:$K$6,3,1)</f>
        <v>50</v>
      </c>
      <c r="U63" s="33">
        <f>IFERROR(VLOOKUP(A63,Devamsızlıklar!A:K,11,0),0)</f>
        <v>0</v>
      </c>
      <c r="V63" s="33">
        <f>VLOOKUP(U63,Aralıklar!$M$2:$O$6,3,1)</f>
        <v>50</v>
      </c>
      <c r="W63" s="40">
        <f>IF(X63=0,0,(T63+V63)*R63*VLOOKUP($W$2,'Kriter Ağırlık'!$A$1:$B$8,2,1)*E63)</f>
        <v>10</v>
      </c>
      <c r="X63" s="40">
        <f>IFERROR(VLOOKUP(A63,Devamsızlıklar!A:M,13,0),1)</f>
        <v>1</v>
      </c>
      <c r="Y63" s="40">
        <f>(OEE!$K$6*VLOOKUP($Y$2,'Kriter Ağırlık'!$A$1:$B$8,2,1))*X63*E63</f>
        <v>35</v>
      </c>
      <c r="Z63" s="40">
        <f>(TELEF!$I$10*VLOOKUP($Z$2,'Kriter Ağırlık'!$A$1:$B$8,2,1))*X63*E63</f>
        <v>15</v>
      </c>
      <c r="AA63" s="40">
        <f t="shared" si="2"/>
        <v>78</v>
      </c>
      <c r="AB63" s="1">
        <v>3</v>
      </c>
      <c r="AC63" s="33">
        <f>VLOOKUP(AB63,'Kriter Ağırlık'!$A$12:$C$17,3,0)</f>
        <v>0</v>
      </c>
      <c r="AD63" s="1">
        <v>2</v>
      </c>
      <c r="AE63" s="33">
        <f>VLOOKUP(AD63,'Kriter Ağırlık'!$E$12:$G$24,3,0)</f>
        <v>1.232</v>
      </c>
      <c r="AF63" s="92">
        <f t="shared" si="3"/>
        <v>0</v>
      </c>
      <c r="AG63" t="str">
        <f>VLOOKUP(A63,'Çalışan Listesi'!A:G,6,0)</f>
        <v>TAKIM LİDERİ</v>
      </c>
    </row>
    <row r="64" spans="1:33" s="103" customFormat="1" x14ac:dyDescent="0.2">
      <c r="A64" s="93">
        <v>417</v>
      </c>
      <c r="B64" s="94" t="s">
        <v>91</v>
      </c>
      <c r="C64" s="95">
        <v>40532</v>
      </c>
      <c r="D64" s="96">
        <f t="shared" si="6"/>
        <v>90</v>
      </c>
      <c r="E64" s="97">
        <f t="shared" si="1"/>
        <v>1</v>
      </c>
      <c r="F64" s="98" t="s">
        <v>422</v>
      </c>
      <c r="G64" s="94" t="s">
        <v>54</v>
      </c>
      <c r="H64" s="106" t="str">
        <f>VLOOKUP(A64,'Çalışan Listesi'!A:G,7,0)</f>
        <v>4.KADEME</v>
      </c>
      <c r="I64" s="100">
        <f>IFERROR(VLOOKUP(A64,'Kaizen Listesi'!A:H,8,0),0)</f>
        <v>0</v>
      </c>
      <c r="J64" s="100">
        <f>I64*VLOOKUP($I$2,'Kriter Ağırlık'!$A$1:$B$8,2,0)</f>
        <v>0</v>
      </c>
      <c r="K64" s="100">
        <f>IFERROR(VLOOKUP(A64,'Hata Kartı '!A:H,8,0),0)</f>
        <v>0</v>
      </c>
      <c r="L64" s="100">
        <f>K64*(VLOOKUP($K$2,'Kriter Ağırlık'!$A$1:$B$8,2,0))</f>
        <v>0</v>
      </c>
      <c r="M64" s="100">
        <f>IFERROR(VLOOKUP(F64,'5S'!$B$8:$E$19,4,0),0)</f>
        <v>1</v>
      </c>
      <c r="N64" s="100">
        <f>VLOOKUP(M64,'5S'!$G$8:$I$14,3,1)*VLOOKUP($M$2,'Kriter Ağırlık'!$A$1:$B$8,2,0)*E64*X64</f>
        <v>7.7333333333333334</v>
      </c>
      <c r="O64" s="99">
        <f>IFERROR(VLOOKUP(A64,Devamsızlıklar!A:K,10,0),0)</f>
        <v>0</v>
      </c>
      <c r="P64" s="101">
        <f>VLOOKUP(O64,Aralıklar!$A$2:$C$5,3,1)*VLOOKUP($O$2,'Kriter Ağırlık'!$A$1:$B$8,2,0)*E64*X64</f>
        <v>9.6666666666666661</v>
      </c>
      <c r="Q64" s="99">
        <f>IFERROR(VLOOKUP(A64,Devamsızlıklar!A:K,8,0),0)</f>
        <v>0</v>
      </c>
      <c r="R64" s="99">
        <f>VLOOKUP(Q64,Aralıklar!$E$2:$G$5,3,1)</f>
        <v>1</v>
      </c>
      <c r="S64" s="99">
        <f>IFERROR(VLOOKUP(A64,Devamsızlıklar!A:K,9,0),0)</f>
        <v>3</v>
      </c>
      <c r="T64" s="99">
        <f>VLOOKUP(S64,Aralıklar!$I$2:$K$6,3,1)</f>
        <v>50</v>
      </c>
      <c r="U64" s="99">
        <f>IFERROR(VLOOKUP(A64,Devamsızlıklar!A:K,11,0),0)</f>
        <v>0</v>
      </c>
      <c r="V64" s="99">
        <f>VLOOKUP(U64,Aralıklar!$M$2:$O$6,3,1)</f>
        <v>50</v>
      </c>
      <c r="W64" s="40">
        <f>IF(X64=0,0,(T64+V64)*R64*VLOOKUP($W$2,'Kriter Ağırlık'!$A$1:$B$8,2,1)*E64)</f>
        <v>10</v>
      </c>
      <c r="X64" s="101">
        <f>IFERROR(VLOOKUP(A64,Devamsızlıklar!A:M,13,0),1)</f>
        <v>0.96666666666666667</v>
      </c>
      <c r="Y64" s="101">
        <f>(OEE!$K$6*VLOOKUP($Y$2,'Kriter Ağırlık'!$A$1:$B$8,2,1))*X64*E64</f>
        <v>33.833333333333336</v>
      </c>
      <c r="Z64" s="101">
        <f>(TELEF!$I$10*VLOOKUP($Z$2,'Kriter Ağırlık'!$A$1:$B$8,2,1))*X64*E64</f>
        <v>14.5</v>
      </c>
      <c r="AA64" s="101">
        <f t="shared" si="2"/>
        <v>75.733333333333334</v>
      </c>
      <c r="AB64" s="99">
        <v>5</v>
      </c>
      <c r="AC64" s="99">
        <f>VLOOKUP(AB64,'Kriter Ağırlık'!$A$12:$C$17,3,0)</f>
        <v>18.5</v>
      </c>
      <c r="AD64" s="99">
        <v>2</v>
      </c>
      <c r="AE64" s="99">
        <f>VLOOKUP(AD64,'Kriter Ağırlık'!$E$12:$G$24,3,0)</f>
        <v>1.232</v>
      </c>
      <c r="AF64" s="102">
        <f t="shared" si="3"/>
        <v>1726.1141333333333</v>
      </c>
      <c r="AG64" t="str">
        <f>VLOOKUP(A64,'Çalışan Listesi'!A:G,6,0)</f>
        <v>OPERATÖR</v>
      </c>
    </row>
    <row r="65" spans="1:33" x14ac:dyDescent="0.2">
      <c r="A65" s="2">
        <v>421</v>
      </c>
      <c r="B65" s="3" t="s">
        <v>92</v>
      </c>
      <c r="C65" s="4">
        <v>39258</v>
      </c>
      <c r="D65" s="5">
        <f t="shared" si="6"/>
        <v>90</v>
      </c>
      <c r="E65" s="6">
        <f t="shared" si="1"/>
        <v>1</v>
      </c>
      <c r="F65" s="135" t="s">
        <v>548</v>
      </c>
      <c r="G65" s="3" t="s">
        <v>64</v>
      </c>
      <c r="H65" s="106" t="str">
        <f>VLOOKUP(A65,'Çalışan Listesi'!A:G,7,0)</f>
        <v>4.KADEME</v>
      </c>
      <c r="I65" s="65">
        <f>IFERROR(VLOOKUP(A65,'Kaizen Listesi'!A:H,8,0),0)</f>
        <v>33.333333333333336</v>
      </c>
      <c r="J65" s="65">
        <f>I65*VLOOKUP($I$2,'Kriter Ağırlık'!$A$1:$B$8,2,0)</f>
        <v>4</v>
      </c>
      <c r="K65" s="65">
        <f>IFERROR(VLOOKUP(A65,'Hata Kartı '!A:H,8,0),0)</f>
        <v>0</v>
      </c>
      <c r="L65" s="65">
        <f>K65*(VLOOKUP($K$2,'Kriter Ağırlık'!$A$1:$B$8,2,0))</f>
        <v>0</v>
      </c>
      <c r="M65" s="65">
        <f>IFERROR(VLOOKUP(F65,'5S'!$B$8:$E$19,4,0),0)</f>
        <v>0</v>
      </c>
      <c r="N65" s="65">
        <f>VLOOKUP(M65,'5S'!$G$8:$I$14,3,1)*VLOOKUP($M$2,'Kriter Ağırlık'!$A$1:$B$8,2,0)*E65*X65</f>
        <v>0</v>
      </c>
      <c r="O65" s="1">
        <f>IFERROR(VLOOKUP(A65,Devamsızlıklar!A:K,10,0),0)</f>
        <v>0</v>
      </c>
      <c r="P65" s="40">
        <f>VLOOKUP(O65,Aralıklar!$A$2:$C$5,3,1)*VLOOKUP($O$2,'Kriter Ağırlık'!$A$1:$B$8,2,0)*E65*X65</f>
        <v>10</v>
      </c>
      <c r="Q65" s="1">
        <f>IFERROR(VLOOKUP(A65,Devamsızlıklar!A:K,8,0),0)</f>
        <v>0</v>
      </c>
      <c r="R65" s="33">
        <f>VLOOKUP(Q65,Aralıklar!$E$2:$G$5,3,1)</f>
        <v>1</v>
      </c>
      <c r="S65" s="33">
        <f>IFERROR(VLOOKUP(A65,Devamsızlıklar!A:K,9,0),0)</f>
        <v>0</v>
      </c>
      <c r="T65" s="33">
        <f>VLOOKUP(S65,Aralıklar!$I$2:$K$6,3,1)</f>
        <v>50</v>
      </c>
      <c r="U65" s="33">
        <f>IFERROR(VLOOKUP(A65,Devamsızlıklar!A:K,11,0),0)</f>
        <v>0</v>
      </c>
      <c r="V65" s="33">
        <f>VLOOKUP(U65,Aralıklar!$M$2:$O$6,3,1)</f>
        <v>50</v>
      </c>
      <c r="W65" s="40">
        <f>IF(X65=0,0,(T65+V65)*R65*VLOOKUP($W$2,'Kriter Ağırlık'!$A$1:$B$8,2,1)*E65)</f>
        <v>10</v>
      </c>
      <c r="X65" s="40">
        <f>IFERROR(VLOOKUP(A65,Devamsızlıklar!A:M,13,0),1)</f>
        <v>1</v>
      </c>
      <c r="Y65" s="40">
        <f>(OEE!$K$6*VLOOKUP($Y$2,'Kriter Ağırlık'!$A$1:$B$8,2,1))*X65*E65</f>
        <v>35</v>
      </c>
      <c r="Z65" s="40">
        <f>(TELEF!$I$10*VLOOKUP($Z$2,'Kriter Ağırlık'!$A$1:$B$8,2,1))*X65*E65</f>
        <v>15</v>
      </c>
      <c r="AA65" s="40">
        <f t="shared" si="2"/>
        <v>74</v>
      </c>
      <c r="AB65" s="1">
        <v>3</v>
      </c>
      <c r="AC65" s="33">
        <f>VLOOKUP(AB65,'Kriter Ağırlık'!$A$12:$C$17,3,0)</f>
        <v>0</v>
      </c>
      <c r="AD65" s="1">
        <v>2</v>
      </c>
      <c r="AE65" s="33">
        <f>VLOOKUP(AD65,'Kriter Ağırlık'!$E$12:$G$24,3,0)</f>
        <v>1.232</v>
      </c>
      <c r="AF65" s="92">
        <f t="shared" si="3"/>
        <v>0</v>
      </c>
      <c r="AG65" t="str">
        <f>VLOOKUP(A65,'Çalışan Listesi'!A:G,6,0)</f>
        <v>TAKIM LİDERİ</v>
      </c>
    </row>
    <row r="66" spans="1:33" x14ac:dyDescent="0.2">
      <c r="A66" s="2">
        <v>1767</v>
      </c>
      <c r="B66" s="3" t="s">
        <v>93</v>
      </c>
      <c r="C66" s="4">
        <v>39804</v>
      </c>
      <c r="D66" s="5">
        <f t="shared" si="6"/>
        <v>90</v>
      </c>
      <c r="E66" s="6">
        <f t="shared" si="1"/>
        <v>1</v>
      </c>
      <c r="F66" s="25" t="s">
        <v>421</v>
      </c>
      <c r="G66" s="3" t="s">
        <v>59</v>
      </c>
      <c r="H66" s="106" t="str">
        <f>VLOOKUP(A66,'Çalışan Listesi'!A:G,7,0)</f>
        <v>SÜPERVİZÖR</v>
      </c>
      <c r="I66" s="65">
        <f>IFERROR(VLOOKUP(A66,'Kaizen Listesi'!A:H,8,0),0)</f>
        <v>0</v>
      </c>
      <c r="J66" s="65">
        <f>I66*VLOOKUP($I$2,'Kriter Ağırlık'!$A$1:$B$8,2,0)</f>
        <v>0</v>
      </c>
      <c r="K66" s="65">
        <f>IFERROR(VLOOKUP(A66,'Hata Kartı '!A:H,8,0),0)</f>
        <v>0</v>
      </c>
      <c r="L66" s="65">
        <f>K66*(VLOOKUP($K$2,'Kriter Ağırlık'!$A$1:$B$8,2,0))</f>
        <v>0</v>
      </c>
      <c r="M66" s="65">
        <f>IFERROR(VLOOKUP(F66,'5S'!$B$8:$E$19,4,0),0)</f>
        <v>1</v>
      </c>
      <c r="N66" s="65">
        <f>VLOOKUP(M66,'5S'!$G$8:$I$14,3,1)*VLOOKUP($M$2,'Kriter Ağırlık'!$A$1:$B$8,2,0)*E66*X66</f>
        <v>8</v>
      </c>
      <c r="O66" s="1">
        <f>IFERROR(VLOOKUP(A66,Devamsızlıklar!A:K,10,0),0)</f>
        <v>0</v>
      </c>
      <c r="P66" s="40">
        <f>VLOOKUP(O66,Aralıklar!$A$2:$C$5,3,1)*VLOOKUP($O$2,'Kriter Ağırlık'!$A$1:$B$8,2,0)*E66*X66</f>
        <v>10</v>
      </c>
      <c r="Q66" s="1">
        <f>IFERROR(VLOOKUP(A66,Devamsızlıklar!A:K,8,0),0)</f>
        <v>0</v>
      </c>
      <c r="R66" s="33">
        <f>VLOOKUP(Q66,Aralıklar!$E$2:$G$5,3,1)</f>
        <v>1</v>
      </c>
      <c r="S66" s="33">
        <f>IFERROR(VLOOKUP(A66,Devamsızlıklar!A:K,9,0),0)</f>
        <v>0</v>
      </c>
      <c r="T66" s="33">
        <f>VLOOKUP(S66,Aralıklar!$I$2:$K$6,3,1)</f>
        <v>50</v>
      </c>
      <c r="U66" s="33">
        <f>IFERROR(VLOOKUP(A66,Devamsızlıklar!A:K,11,0),0)</f>
        <v>0</v>
      </c>
      <c r="V66" s="33">
        <f>VLOOKUP(U66,Aralıklar!$M$2:$O$6,3,1)</f>
        <v>50</v>
      </c>
      <c r="W66" s="40">
        <f>IF(X66=0,0,(T66+V66)*R66*VLOOKUP($W$2,'Kriter Ağırlık'!$A$1:$B$8,2,1)*E66)</f>
        <v>10</v>
      </c>
      <c r="X66" s="40">
        <f>IFERROR(VLOOKUP(A66,Devamsızlıklar!A:M,13,0),1)</f>
        <v>1</v>
      </c>
      <c r="Y66" s="40">
        <f>(OEE!$K$6*VLOOKUP($Y$2,'Kriter Ağırlık'!$A$1:$B$8,2,1))*X66*E66</f>
        <v>35</v>
      </c>
      <c r="Z66" s="40">
        <f>(TELEF!$I$10*VLOOKUP($Z$2,'Kriter Ağırlık'!$A$1:$B$8,2,1))*X66*E66</f>
        <v>15</v>
      </c>
      <c r="AA66" s="40">
        <f t="shared" si="2"/>
        <v>78</v>
      </c>
      <c r="AB66" s="1">
        <v>2</v>
      </c>
      <c r="AC66" s="33">
        <f>VLOOKUP(AB66,'Kriter Ağırlık'!$A$12:$C$17,3,0)</f>
        <v>0</v>
      </c>
      <c r="AD66" s="75">
        <v>1</v>
      </c>
      <c r="AE66" s="33">
        <f>VLOOKUP(AD66,'Kriter Ağırlık'!$E$12:$G$24,3,0)</f>
        <v>1</v>
      </c>
      <c r="AF66" s="92">
        <f t="shared" si="3"/>
        <v>0</v>
      </c>
      <c r="AG66" t="str">
        <f>VLOOKUP(A66,'Çalışan Listesi'!A:G,6,0)</f>
        <v>GRUP LİDERİ</v>
      </c>
    </row>
    <row r="67" spans="1:33" x14ac:dyDescent="0.2">
      <c r="A67" s="2">
        <v>1769</v>
      </c>
      <c r="B67" s="3" t="s">
        <v>94</v>
      </c>
      <c r="C67" s="4">
        <v>39825</v>
      </c>
      <c r="D67" s="5">
        <f t="shared" si="6"/>
        <v>90</v>
      </c>
      <c r="E67" s="6">
        <f t="shared" ref="E67:E129" si="7">D67/90</f>
        <v>1</v>
      </c>
      <c r="F67" s="25" t="s">
        <v>423</v>
      </c>
      <c r="G67" s="3" t="s">
        <v>95</v>
      </c>
      <c r="H67" s="106" t="str">
        <f>VLOOKUP(A67,'Çalışan Listesi'!A:G,7,0)</f>
        <v>2.KADEME</v>
      </c>
      <c r="I67" s="65">
        <f>IFERROR(VLOOKUP(A67,'Kaizen Listesi'!A:H,8,0),0)</f>
        <v>0</v>
      </c>
      <c r="J67" s="65">
        <f>I67*VLOOKUP($I$2,'Kriter Ağırlık'!$A$1:$B$8,2,0)</f>
        <v>0</v>
      </c>
      <c r="K67" s="65">
        <f>IFERROR(VLOOKUP(A67,'Hata Kartı '!A:H,8,0),0)</f>
        <v>16.666666666666668</v>
      </c>
      <c r="L67" s="65">
        <f>K67*(VLOOKUP($K$2,'Kriter Ağırlık'!$A$1:$B$8,2,0))</f>
        <v>1.666666666666667</v>
      </c>
      <c r="M67" s="65">
        <f>IFERROR(VLOOKUP(F67,'5S'!$B$8:$E$19,4,0),0)</f>
        <v>1</v>
      </c>
      <c r="N67" s="65">
        <f>VLOOKUP(M67,'5S'!$G$8:$I$14,3,1)*VLOOKUP($M$2,'Kriter Ağırlık'!$A$1:$B$8,2,0)*E67*X67</f>
        <v>8</v>
      </c>
      <c r="O67" s="1">
        <f>IFERROR(VLOOKUP(A67,Devamsızlıklar!A:K,10,0),0)</f>
        <v>0</v>
      </c>
      <c r="P67" s="40">
        <f>VLOOKUP(O67,Aralıklar!$A$2:$C$5,3,1)*VLOOKUP($O$2,'Kriter Ağırlık'!$A$1:$B$8,2,0)*E67*X67</f>
        <v>10</v>
      </c>
      <c r="Q67" s="1">
        <f>IFERROR(VLOOKUP(A67,Devamsızlıklar!A:K,8,0),0)</f>
        <v>0</v>
      </c>
      <c r="R67" s="33">
        <f>VLOOKUP(Q67,Aralıklar!$E$2:$G$5,3,1)</f>
        <v>1</v>
      </c>
      <c r="S67" s="33">
        <f>IFERROR(VLOOKUP(A67,Devamsızlıklar!A:K,9,0),0)</f>
        <v>0</v>
      </c>
      <c r="T67" s="33">
        <f>VLOOKUP(S67,Aralıklar!$I$2:$K$6,3,1)</f>
        <v>50</v>
      </c>
      <c r="U67" s="33">
        <f>IFERROR(VLOOKUP(A67,Devamsızlıklar!A:K,11,0),0)</f>
        <v>0</v>
      </c>
      <c r="V67" s="33">
        <f>VLOOKUP(U67,Aralıklar!$M$2:$O$6,3,1)</f>
        <v>50</v>
      </c>
      <c r="W67" s="40">
        <f>IF(X67=0,0,(T67+V67)*R67*VLOOKUP($W$2,'Kriter Ağırlık'!$A$1:$B$8,2,1)*E67)</f>
        <v>10</v>
      </c>
      <c r="X67" s="40">
        <f>IFERROR(VLOOKUP(A67,Devamsızlıklar!A:M,13,0),1)</f>
        <v>1</v>
      </c>
      <c r="Y67" s="40">
        <f>(OEE!$K$6*VLOOKUP($Y$2,'Kriter Ağırlık'!$A$1:$B$8,2,1))*X67*E67</f>
        <v>35</v>
      </c>
      <c r="Z67" s="40">
        <f>(TELEF!$I$10*VLOOKUP($Z$2,'Kriter Ağırlık'!$A$1:$B$8,2,1))*X67*E67</f>
        <v>15</v>
      </c>
      <c r="AA67" s="40">
        <f t="shared" ref="AA67:AA129" si="8">J67+L67+N67+P67+W67+Y67+Z67</f>
        <v>79.666666666666671</v>
      </c>
      <c r="AB67" s="1">
        <v>5</v>
      </c>
      <c r="AC67" s="33">
        <f>VLOOKUP(AB67,'Kriter Ağırlık'!$A$12:$C$17,3,0)</f>
        <v>18.5</v>
      </c>
      <c r="AD67" s="1">
        <v>8</v>
      </c>
      <c r="AE67" s="33">
        <f>VLOOKUP(AD67,'Kriter Ağırlık'!$E$12:$G$24,3,0)</f>
        <v>1</v>
      </c>
      <c r="AF67" s="92">
        <f t="shared" ref="AF67:AF129" si="9">AA67*AC67*AE67</f>
        <v>1473.8333333333335</v>
      </c>
      <c r="AG67" t="str">
        <f>VLOOKUP(A67,'Çalışan Listesi'!A:G,6,0)</f>
        <v>TEKNİSYEN</v>
      </c>
    </row>
    <row r="68" spans="1:33" x14ac:dyDescent="0.2">
      <c r="A68" s="2">
        <v>1798</v>
      </c>
      <c r="B68" s="3" t="s">
        <v>96</v>
      </c>
      <c r="C68" s="4">
        <v>39882</v>
      </c>
      <c r="D68" s="5">
        <f t="shared" si="6"/>
        <v>90</v>
      </c>
      <c r="E68" s="6">
        <f t="shared" si="7"/>
        <v>1</v>
      </c>
      <c r="F68" s="25" t="s">
        <v>421</v>
      </c>
      <c r="G68" s="3" t="s">
        <v>10</v>
      </c>
      <c r="H68" s="106" t="str">
        <f>VLOOKUP(A68,'Çalışan Listesi'!A:G,7,0)</f>
        <v>3.KADEME</v>
      </c>
      <c r="I68" s="65">
        <f>IFERROR(VLOOKUP(A68,'Kaizen Listesi'!A:H,8,0),0)</f>
        <v>33.333333333333336</v>
      </c>
      <c r="J68" s="65">
        <f>I68*VLOOKUP($I$2,'Kriter Ağırlık'!$A$1:$B$8,2,0)</f>
        <v>4</v>
      </c>
      <c r="K68" s="65">
        <f>IFERROR(VLOOKUP(A68,'Hata Kartı '!A:H,8,0),0)</f>
        <v>16.666666666666668</v>
      </c>
      <c r="L68" s="65">
        <f>K68*(VLOOKUP($K$2,'Kriter Ağırlık'!$A$1:$B$8,2,0))</f>
        <v>1.666666666666667</v>
      </c>
      <c r="M68" s="65">
        <f>IFERROR(VLOOKUP(F68,'5S'!$B$8:$E$19,4,0),0)</f>
        <v>1</v>
      </c>
      <c r="N68" s="65">
        <f>VLOOKUP(M68,'5S'!$G$8:$I$14,3,1)*VLOOKUP($M$2,'Kriter Ağırlık'!$A$1:$B$8,2,0)*E68*X68</f>
        <v>8</v>
      </c>
      <c r="O68" s="1">
        <f>IFERROR(VLOOKUP(A68,Devamsızlıklar!A:K,10,0),0)</f>
        <v>0</v>
      </c>
      <c r="P68" s="40">
        <f>VLOOKUP(O68,Aralıklar!$A$2:$C$5,3,1)*VLOOKUP($O$2,'Kriter Ağırlık'!$A$1:$B$8,2,0)*E68*X68</f>
        <v>10</v>
      </c>
      <c r="Q68" s="1">
        <f>IFERROR(VLOOKUP(A68,Devamsızlıklar!A:K,8,0),0)</f>
        <v>0</v>
      </c>
      <c r="R68" s="33">
        <f>VLOOKUP(Q68,Aralıklar!$E$2:$G$5,3,1)</f>
        <v>1</v>
      </c>
      <c r="S68" s="33">
        <f>IFERROR(VLOOKUP(A68,Devamsızlıklar!A:K,9,0),0)</f>
        <v>0</v>
      </c>
      <c r="T68" s="33">
        <f>VLOOKUP(S68,Aralıklar!$I$2:$K$6,3,1)</f>
        <v>50</v>
      </c>
      <c r="U68" s="33">
        <f>IFERROR(VLOOKUP(A68,Devamsızlıklar!A:K,11,0),0)</f>
        <v>0</v>
      </c>
      <c r="V68" s="33">
        <f>VLOOKUP(U68,Aralıklar!$M$2:$O$6,3,1)</f>
        <v>50</v>
      </c>
      <c r="W68" s="40">
        <f>IF(X68=0,0,(T68+V68)*R68*VLOOKUP($W$2,'Kriter Ağırlık'!$A$1:$B$8,2,1)*E68)</f>
        <v>10</v>
      </c>
      <c r="X68" s="40">
        <f>IFERROR(VLOOKUP(A68,Devamsızlıklar!A:M,13,0),1)</f>
        <v>1</v>
      </c>
      <c r="Y68" s="40">
        <f>(OEE!$K$6*VLOOKUP($Y$2,'Kriter Ağırlık'!$A$1:$B$8,2,1))*X68*E68</f>
        <v>35</v>
      </c>
      <c r="Z68" s="40">
        <f>(TELEF!$I$10*VLOOKUP($Z$2,'Kriter Ağırlık'!$A$1:$B$8,2,1))*X68*E68</f>
        <v>15</v>
      </c>
      <c r="AA68" s="40">
        <f t="shared" si="8"/>
        <v>83.666666666666671</v>
      </c>
      <c r="AB68" s="1">
        <v>5</v>
      </c>
      <c r="AC68" s="33">
        <f>VLOOKUP(AB68,'Kriter Ağırlık'!$A$12:$C$17,3,0)</f>
        <v>18.5</v>
      </c>
      <c r="AD68" s="1">
        <v>3</v>
      </c>
      <c r="AE68" s="33">
        <f>VLOOKUP(AD68,'Kriter Ağırlık'!$E$12:$G$24,3,0)</f>
        <v>1.1499999999999999</v>
      </c>
      <c r="AF68" s="92">
        <f t="shared" si="9"/>
        <v>1780.0083333333334</v>
      </c>
      <c r="AG68" t="str">
        <f>VLOOKUP(A68,'Çalışan Listesi'!A:G,6,0)</f>
        <v>OPERATÖR</v>
      </c>
    </row>
    <row r="69" spans="1:33" x14ac:dyDescent="0.2">
      <c r="A69" s="2">
        <v>1848</v>
      </c>
      <c r="B69" s="3" t="s">
        <v>97</v>
      </c>
      <c r="C69" s="4">
        <v>42667</v>
      </c>
      <c r="D69" s="5">
        <f t="shared" si="6"/>
        <v>90</v>
      </c>
      <c r="E69" s="6">
        <f t="shared" si="7"/>
        <v>1</v>
      </c>
      <c r="F69" s="25" t="s">
        <v>421</v>
      </c>
      <c r="G69" s="3" t="s">
        <v>86</v>
      </c>
      <c r="H69" s="106" t="str">
        <f>VLOOKUP(A69,'Çalışan Listesi'!A:G,7,0)</f>
        <v>3.KADEME</v>
      </c>
      <c r="I69" s="65">
        <f>IFERROR(VLOOKUP(A69,'Kaizen Listesi'!A:H,8,0),0)</f>
        <v>0</v>
      </c>
      <c r="J69" s="65">
        <f>I69*VLOOKUP($I$2,'Kriter Ağırlık'!$A$1:$B$8,2,0)</f>
        <v>0</v>
      </c>
      <c r="K69" s="65">
        <f>IFERROR(VLOOKUP(A69,'Hata Kartı '!A:H,8,0),0)</f>
        <v>66.666666666666671</v>
      </c>
      <c r="L69" s="65">
        <f>K69*(VLOOKUP($K$2,'Kriter Ağırlık'!$A$1:$B$8,2,0))</f>
        <v>6.6666666666666679</v>
      </c>
      <c r="M69" s="65">
        <f>IFERROR(VLOOKUP(F69,'5S'!$B$8:$E$19,4,0),0)</f>
        <v>1</v>
      </c>
      <c r="N69" s="65">
        <f>VLOOKUP(M69,'5S'!$G$8:$I$14,3,1)*VLOOKUP($M$2,'Kriter Ağırlık'!$A$1:$B$8,2,0)*E69*X69</f>
        <v>8</v>
      </c>
      <c r="O69" s="1">
        <f>IFERROR(VLOOKUP(A69,Devamsızlıklar!A:K,10,0),0)</f>
        <v>0</v>
      </c>
      <c r="P69" s="40">
        <f>VLOOKUP(O69,Aralıklar!$A$2:$C$5,3,1)*VLOOKUP($O$2,'Kriter Ağırlık'!$A$1:$B$8,2,0)*E69*X69</f>
        <v>10</v>
      </c>
      <c r="Q69" s="1">
        <f>IFERROR(VLOOKUP(A69,Devamsızlıklar!A:K,8,0),0)</f>
        <v>0</v>
      </c>
      <c r="R69" s="33">
        <f>VLOOKUP(Q69,Aralıklar!$E$2:$G$5,3,1)</f>
        <v>1</v>
      </c>
      <c r="S69" s="33">
        <f>IFERROR(VLOOKUP(A69,Devamsızlıklar!A:K,9,0),0)</f>
        <v>0</v>
      </c>
      <c r="T69" s="33">
        <f>VLOOKUP(S69,Aralıklar!$I$2:$K$6,3,1)</f>
        <v>50</v>
      </c>
      <c r="U69" s="33">
        <f>IFERROR(VLOOKUP(A69,Devamsızlıklar!A:K,11,0),0)</f>
        <v>0</v>
      </c>
      <c r="V69" s="33">
        <f>VLOOKUP(U69,Aralıklar!$M$2:$O$6,3,1)</f>
        <v>50</v>
      </c>
      <c r="W69" s="40">
        <f>IF(X69=0,0,(T69+V69)*R69*VLOOKUP($W$2,'Kriter Ağırlık'!$A$1:$B$8,2,1)*E69)</f>
        <v>10</v>
      </c>
      <c r="X69" s="40">
        <f>IFERROR(VLOOKUP(A69,Devamsızlıklar!A:M,13,0),1)</f>
        <v>1</v>
      </c>
      <c r="Y69" s="40">
        <f>(OEE!$K$6*VLOOKUP($Y$2,'Kriter Ağırlık'!$A$1:$B$8,2,1))*X69*E69</f>
        <v>35</v>
      </c>
      <c r="Z69" s="40">
        <f>(TELEF!$I$10*VLOOKUP($Z$2,'Kriter Ağırlık'!$A$1:$B$8,2,1))*X69*E69</f>
        <v>15</v>
      </c>
      <c r="AA69" s="40">
        <f t="shared" si="8"/>
        <v>84.666666666666671</v>
      </c>
      <c r="AB69" s="1">
        <v>5</v>
      </c>
      <c r="AC69" s="33">
        <f>VLOOKUP(AB69,'Kriter Ağırlık'!$A$12:$C$17,3,0)</f>
        <v>18.5</v>
      </c>
      <c r="AD69" s="1">
        <v>3</v>
      </c>
      <c r="AE69" s="33">
        <f>VLOOKUP(AD69,'Kriter Ağırlık'!$E$12:$G$24,3,0)</f>
        <v>1.1499999999999999</v>
      </c>
      <c r="AF69" s="92">
        <f t="shared" si="9"/>
        <v>1801.2833333333333</v>
      </c>
      <c r="AG69" t="str">
        <f>VLOOKUP(A69,'Çalışan Listesi'!A:G,6,0)</f>
        <v>OPERATÖR</v>
      </c>
    </row>
    <row r="70" spans="1:33" x14ac:dyDescent="0.2">
      <c r="A70" s="2">
        <v>1849</v>
      </c>
      <c r="B70" s="3" t="s">
        <v>98</v>
      </c>
      <c r="C70" s="4">
        <v>39958</v>
      </c>
      <c r="D70" s="5">
        <f t="shared" si="6"/>
        <v>90</v>
      </c>
      <c r="E70" s="6">
        <f t="shared" si="7"/>
        <v>1</v>
      </c>
      <c r="F70" s="25" t="s">
        <v>421</v>
      </c>
      <c r="G70" s="3" t="s">
        <v>99</v>
      </c>
      <c r="H70" s="106" t="str">
        <f>VLOOKUP(A70,'Çalışan Listesi'!A:G,7,0)</f>
        <v>4.KADEME</v>
      </c>
      <c r="I70" s="65">
        <f>IFERROR(VLOOKUP(A70,'Kaizen Listesi'!A:H,8,0),0)</f>
        <v>0</v>
      </c>
      <c r="J70" s="65">
        <f>I70*VLOOKUP($I$2,'Kriter Ağırlık'!$A$1:$B$8,2,0)</f>
        <v>0</v>
      </c>
      <c r="K70" s="65">
        <f>IFERROR(VLOOKUP(A70,'Hata Kartı '!A:H,8,0),0)</f>
        <v>66.666666666666671</v>
      </c>
      <c r="L70" s="65">
        <f>K70*(VLOOKUP($K$2,'Kriter Ağırlık'!$A$1:$B$8,2,0))</f>
        <v>6.6666666666666679</v>
      </c>
      <c r="M70" s="65">
        <f>IFERROR(VLOOKUP(F70,'5S'!$B$8:$E$19,4,0),0)</f>
        <v>1</v>
      </c>
      <c r="N70" s="65">
        <f>VLOOKUP(M70,'5S'!$G$8:$I$14,3,1)*VLOOKUP($M$2,'Kriter Ağırlık'!$A$1:$B$8,2,0)*E70*X70</f>
        <v>8</v>
      </c>
      <c r="O70" s="1">
        <f>IFERROR(VLOOKUP(A70,Devamsızlıklar!A:K,10,0),0)</f>
        <v>0</v>
      </c>
      <c r="P70" s="40">
        <f>VLOOKUP(O70,Aralıklar!$A$2:$C$5,3,1)*VLOOKUP($O$2,'Kriter Ağırlık'!$A$1:$B$8,2,0)*E70*X70</f>
        <v>10</v>
      </c>
      <c r="Q70" s="1">
        <f>IFERROR(VLOOKUP(A70,Devamsızlıklar!A:K,8,0),0)</f>
        <v>0</v>
      </c>
      <c r="R70" s="33">
        <f>VLOOKUP(Q70,Aralıklar!$E$2:$G$5,3,1)</f>
        <v>1</v>
      </c>
      <c r="S70" s="33">
        <f>IFERROR(VLOOKUP(A70,Devamsızlıklar!A:K,9,0),0)</f>
        <v>0</v>
      </c>
      <c r="T70" s="33">
        <f>VLOOKUP(S70,Aralıklar!$I$2:$K$6,3,1)</f>
        <v>50</v>
      </c>
      <c r="U70" s="33">
        <f>IFERROR(VLOOKUP(A70,Devamsızlıklar!A:K,11,0),0)</f>
        <v>0</v>
      </c>
      <c r="V70" s="33">
        <f>VLOOKUP(U70,Aralıklar!$M$2:$O$6,3,1)</f>
        <v>50</v>
      </c>
      <c r="W70" s="40">
        <f>IF(X70=0,0,(T70+V70)*R70*VLOOKUP($W$2,'Kriter Ağırlık'!$A$1:$B$8,2,1)*E70)</f>
        <v>10</v>
      </c>
      <c r="X70" s="40">
        <f>IFERROR(VLOOKUP(A70,Devamsızlıklar!A:M,13,0),1)</f>
        <v>1</v>
      </c>
      <c r="Y70" s="40">
        <f>(OEE!$K$6*VLOOKUP($Y$2,'Kriter Ağırlık'!$A$1:$B$8,2,1))*X70*E70</f>
        <v>35</v>
      </c>
      <c r="Z70" s="40">
        <f>(TELEF!$I$10*VLOOKUP($Z$2,'Kriter Ağırlık'!$A$1:$B$8,2,1))*X70*E70</f>
        <v>15</v>
      </c>
      <c r="AA70" s="40">
        <f t="shared" si="8"/>
        <v>84.666666666666671</v>
      </c>
      <c r="AB70" s="1">
        <v>3</v>
      </c>
      <c r="AC70" s="33">
        <f>VLOOKUP(AB70,'Kriter Ağırlık'!$A$12:$C$17,3,0)</f>
        <v>0</v>
      </c>
      <c r="AD70" s="1">
        <v>2</v>
      </c>
      <c r="AE70" s="33">
        <f>VLOOKUP(AD70,'Kriter Ağırlık'!$E$12:$G$24,3,0)</f>
        <v>1.232</v>
      </c>
      <c r="AF70" s="92">
        <f t="shared" si="9"/>
        <v>0</v>
      </c>
      <c r="AG70" t="str">
        <f>VLOOKUP(A70,'Çalışan Listesi'!A:G,6,0)</f>
        <v>TAKIM LİDERİ</v>
      </c>
    </row>
    <row r="71" spans="1:33" x14ac:dyDescent="0.2">
      <c r="A71" s="2">
        <v>1891</v>
      </c>
      <c r="B71" s="3" t="s">
        <v>100</v>
      </c>
      <c r="C71" s="4">
        <v>40028</v>
      </c>
      <c r="D71" s="5">
        <f t="shared" si="6"/>
        <v>90</v>
      </c>
      <c r="E71" s="6">
        <f t="shared" si="7"/>
        <v>1</v>
      </c>
      <c r="F71" s="25" t="s">
        <v>422</v>
      </c>
      <c r="G71" s="3" t="s">
        <v>54</v>
      </c>
      <c r="H71" s="106" t="str">
        <f>VLOOKUP(A71,'Çalışan Listesi'!A:G,7,0)</f>
        <v>4.KADEME</v>
      </c>
      <c r="I71" s="65">
        <f>IFERROR(VLOOKUP(A71,'Kaizen Listesi'!A:H,8,0),0)</f>
        <v>0</v>
      </c>
      <c r="J71" s="65">
        <f>I71*VLOOKUP($I$2,'Kriter Ağırlık'!$A$1:$B$8,2,0)</f>
        <v>0</v>
      </c>
      <c r="K71" s="65">
        <f>IFERROR(VLOOKUP(A71,'Hata Kartı '!A:H,8,0),0)</f>
        <v>0</v>
      </c>
      <c r="L71" s="65">
        <f>K71*(VLOOKUP($K$2,'Kriter Ağırlık'!$A$1:$B$8,2,0))</f>
        <v>0</v>
      </c>
      <c r="M71" s="65">
        <f>IFERROR(VLOOKUP(F71,'5S'!$B$8:$E$19,4,0),0)</f>
        <v>1</v>
      </c>
      <c r="N71" s="65">
        <f>VLOOKUP(M71,'5S'!$G$8:$I$14,3,1)*VLOOKUP($M$2,'Kriter Ağırlık'!$A$1:$B$8,2,0)*E71*X71</f>
        <v>8</v>
      </c>
      <c r="O71" s="1">
        <f>IFERROR(VLOOKUP(A71,Devamsızlıklar!A:K,10,0),0)</f>
        <v>0</v>
      </c>
      <c r="P71" s="40">
        <f>VLOOKUP(O71,Aralıklar!$A$2:$C$5,3,1)*VLOOKUP($O$2,'Kriter Ağırlık'!$A$1:$B$8,2,0)*E71*X71</f>
        <v>10</v>
      </c>
      <c r="Q71" s="1">
        <f>IFERROR(VLOOKUP(A71,Devamsızlıklar!A:K,8,0),0)</f>
        <v>0</v>
      </c>
      <c r="R71" s="33">
        <f>VLOOKUP(Q71,Aralıklar!$E$2:$G$5,3,1)</f>
        <v>1</v>
      </c>
      <c r="S71" s="33">
        <f>IFERROR(VLOOKUP(A71,Devamsızlıklar!A:K,9,0),0)</f>
        <v>0</v>
      </c>
      <c r="T71" s="33">
        <f>VLOOKUP(S71,Aralıklar!$I$2:$K$6,3,1)</f>
        <v>50</v>
      </c>
      <c r="U71" s="33">
        <f>IFERROR(VLOOKUP(A71,Devamsızlıklar!A:K,11,0),0)</f>
        <v>0</v>
      </c>
      <c r="V71" s="33">
        <f>VLOOKUP(U71,Aralıklar!$M$2:$O$6,3,1)</f>
        <v>50</v>
      </c>
      <c r="W71" s="40">
        <f>IF(X71=0,0,(T71+V71)*R71*VLOOKUP($W$2,'Kriter Ağırlık'!$A$1:$B$8,2,1)*E71)</f>
        <v>10</v>
      </c>
      <c r="X71" s="40">
        <f>IFERROR(VLOOKUP(A71,Devamsızlıklar!A:M,13,0),1)</f>
        <v>1</v>
      </c>
      <c r="Y71" s="40">
        <f>(OEE!$K$6*VLOOKUP($Y$2,'Kriter Ağırlık'!$A$1:$B$8,2,1))*X71*E71</f>
        <v>35</v>
      </c>
      <c r="Z71" s="40">
        <f>(TELEF!$I$10*VLOOKUP($Z$2,'Kriter Ağırlık'!$A$1:$B$8,2,1))*X71*E71</f>
        <v>15</v>
      </c>
      <c r="AA71" s="40">
        <f t="shared" si="8"/>
        <v>78</v>
      </c>
      <c r="AB71" s="1">
        <v>5</v>
      </c>
      <c r="AC71" s="33">
        <f>VLOOKUP(AB71,'Kriter Ağırlık'!$A$12:$C$17,3,0)</f>
        <v>18.5</v>
      </c>
      <c r="AD71" s="1">
        <v>2</v>
      </c>
      <c r="AE71" s="33">
        <f>VLOOKUP(AD71,'Kriter Ağırlık'!$E$12:$G$24,3,0)</f>
        <v>1.232</v>
      </c>
      <c r="AF71" s="92">
        <f t="shared" si="9"/>
        <v>1777.7760000000001</v>
      </c>
      <c r="AG71" t="str">
        <f>VLOOKUP(A71,'Çalışan Listesi'!A:G,6,0)</f>
        <v>OPERATÖR</v>
      </c>
    </row>
    <row r="72" spans="1:33" x14ac:dyDescent="0.2">
      <c r="A72" s="2">
        <v>1894</v>
      </c>
      <c r="B72" s="3" t="s">
        <v>101</v>
      </c>
      <c r="C72" s="4">
        <v>41225</v>
      </c>
      <c r="D72" s="5">
        <f t="shared" si="6"/>
        <v>90</v>
      </c>
      <c r="E72" s="6">
        <f t="shared" si="7"/>
        <v>1</v>
      </c>
      <c r="F72" s="25" t="s">
        <v>423</v>
      </c>
      <c r="G72" s="3" t="s">
        <v>102</v>
      </c>
      <c r="H72" s="106" t="str">
        <f>VLOOKUP(A72,'Çalışan Listesi'!A:G,7,0)</f>
        <v>3.KADEME</v>
      </c>
      <c r="I72" s="65">
        <f>IFERROR(VLOOKUP(A72,'Kaizen Listesi'!A:H,8,0),0)</f>
        <v>0</v>
      </c>
      <c r="J72" s="65">
        <f>I72*VLOOKUP($I$2,'Kriter Ağırlık'!$A$1:$B$8,2,0)</f>
        <v>0</v>
      </c>
      <c r="K72" s="65">
        <f>IFERROR(VLOOKUP(A72,'Hata Kartı '!A:H,8,0),0)</f>
        <v>0</v>
      </c>
      <c r="L72" s="65">
        <f>K72*(VLOOKUP($K$2,'Kriter Ağırlık'!$A$1:$B$8,2,0))</f>
        <v>0</v>
      </c>
      <c r="M72" s="65">
        <f>IFERROR(VLOOKUP(F72,'5S'!$B$8:$E$19,4,0),0)</f>
        <v>1</v>
      </c>
      <c r="N72" s="65">
        <f>VLOOKUP(M72,'5S'!$G$8:$I$14,3,1)*VLOOKUP($M$2,'Kriter Ağırlık'!$A$1:$B$8,2,0)*E72*X72</f>
        <v>8</v>
      </c>
      <c r="O72" s="1">
        <f>IFERROR(VLOOKUP(A72,Devamsızlıklar!A:K,10,0),0)</f>
        <v>0</v>
      </c>
      <c r="P72" s="40">
        <f>VLOOKUP(O72,Aralıklar!$A$2:$C$5,3,1)*VLOOKUP($O$2,'Kriter Ağırlık'!$A$1:$B$8,2,0)*E72*X72</f>
        <v>10</v>
      </c>
      <c r="Q72" s="1">
        <f>IFERROR(VLOOKUP(A72,Devamsızlıklar!A:K,8,0),0)</f>
        <v>0</v>
      </c>
      <c r="R72" s="33">
        <f>VLOOKUP(Q72,Aralıklar!$E$2:$G$5,3,1)</f>
        <v>1</v>
      </c>
      <c r="S72" s="33">
        <f>IFERROR(VLOOKUP(A72,Devamsızlıklar!A:K,9,0),0)</f>
        <v>0</v>
      </c>
      <c r="T72" s="33">
        <f>VLOOKUP(S72,Aralıklar!$I$2:$K$6,3,1)</f>
        <v>50</v>
      </c>
      <c r="U72" s="33">
        <f>IFERROR(VLOOKUP(A72,Devamsızlıklar!A:K,11,0),0)</f>
        <v>0</v>
      </c>
      <c r="V72" s="33">
        <f>VLOOKUP(U72,Aralıklar!$M$2:$O$6,3,1)</f>
        <v>50</v>
      </c>
      <c r="W72" s="40">
        <f>IF(X72=0,0,(T72+V72)*R72*VLOOKUP($W$2,'Kriter Ağırlık'!$A$1:$B$8,2,1)*E72)</f>
        <v>10</v>
      </c>
      <c r="X72" s="40">
        <f>IFERROR(VLOOKUP(A72,Devamsızlıklar!A:M,13,0),1)</f>
        <v>1</v>
      </c>
      <c r="Y72" s="40">
        <f>(OEE!$K$6*VLOOKUP($Y$2,'Kriter Ağırlık'!$A$1:$B$8,2,1))*X72*E72</f>
        <v>35</v>
      </c>
      <c r="Z72" s="40">
        <f>(TELEF!$I$10*VLOOKUP($Z$2,'Kriter Ağırlık'!$A$1:$B$8,2,1))*X72*E72</f>
        <v>15</v>
      </c>
      <c r="AA72" s="40">
        <f t="shared" si="8"/>
        <v>78</v>
      </c>
      <c r="AB72" s="1">
        <v>5</v>
      </c>
      <c r="AC72" s="33">
        <f>VLOOKUP(AB72,'Kriter Ağırlık'!$A$12:$C$17,3,0)</f>
        <v>18.5</v>
      </c>
      <c r="AD72" s="1">
        <v>7</v>
      </c>
      <c r="AE72" s="33">
        <f>VLOOKUP(AD72,'Kriter Ağırlık'!$E$12:$G$24,3,0)</f>
        <v>1.19</v>
      </c>
      <c r="AF72" s="92">
        <f t="shared" si="9"/>
        <v>1717.1699999999998</v>
      </c>
      <c r="AG72" t="str">
        <f>VLOOKUP(A72,'Çalışan Listesi'!A:G,6,0)</f>
        <v>TEKNİSYEN</v>
      </c>
    </row>
    <row r="73" spans="1:33" x14ac:dyDescent="0.2">
      <c r="A73" s="2">
        <v>1899</v>
      </c>
      <c r="B73" s="3" t="s">
        <v>103</v>
      </c>
      <c r="C73" s="4">
        <v>40035</v>
      </c>
      <c r="D73" s="5">
        <f t="shared" si="6"/>
        <v>90</v>
      </c>
      <c r="E73" s="6">
        <f t="shared" si="7"/>
        <v>1</v>
      </c>
      <c r="F73" s="25" t="s">
        <v>426</v>
      </c>
      <c r="G73" s="3" t="s">
        <v>549</v>
      </c>
      <c r="H73" s="106" t="str">
        <f>VLOOKUP(A73,'Çalışan Listesi'!A:G,7,0)</f>
        <v>3.KADEME</v>
      </c>
      <c r="I73" s="65">
        <f>IFERROR(VLOOKUP(A73,'Kaizen Listesi'!A:H,8,0),0)</f>
        <v>0</v>
      </c>
      <c r="J73" s="65">
        <f>I73*VLOOKUP($I$2,'Kriter Ağırlık'!$A$1:$B$8,2,0)</f>
        <v>0</v>
      </c>
      <c r="K73" s="65">
        <f>IFERROR(VLOOKUP(A73,'Hata Kartı '!A:H,8,0),0)</f>
        <v>16.666666666666668</v>
      </c>
      <c r="L73" s="65">
        <f>K73*(VLOOKUP($K$2,'Kriter Ağırlık'!$A$1:$B$8,2,0))</f>
        <v>1.666666666666667</v>
      </c>
      <c r="M73" s="65">
        <f>IFERROR(VLOOKUP(F73,'5S'!$B$8:$E$19,4,0),0)</f>
        <v>1</v>
      </c>
      <c r="N73" s="65">
        <f>VLOOKUP(M73,'5S'!$G$8:$I$14,3,1)*VLOOKUP($M$2,'Kriter Ağırlık'!$A$1:$B$8,2,0)*E73*X73</f>
        <v>8</v>
      </c>
      <c r="O73" s="1">
        <f>IFERROR(VLOOKUP(A73,Devamsızlıklar!A:K,10,0),0)</f>
        <v>0</v>
      </c>
      <c r="P73" s="40">
        <f>VLOOKUP(O73,Aralıklar!$A$2:$C$5,3,1)*VLOOKUP($O$2,'Kriter Ağırlık'!$A$1:$B$8,2,0)*E73*X73</f>
        <v>10</v>
      </c>
      <c r="Q73" s="1">
        <f>IFERROR(VLOOKUP(A73,Devamsızlıklar!A:K,8,0),0)</f>
        <v>0</v>
      </c>
      <c r="R73" s="33">
        <f>VLOOKUP(Q73,Aralıklar!$E$2:$G$5,3,1)</f>
        <v>1</v>
      </c>
      <c r="S73" s="33">
        <f>IFERROR(VLOOKUP(A73,Devamsızlıklar!A:K,9,0),0)</f>
        <v>0</v>
      </c>
      <c r="T73" s="33">
        <f>VLOOKUP(S73,Aralıklar!$I$2:$K$6,3,1)</f>
        <v>50</v>
      </c>
      <c r="U73" s="33">
        <f>IFERROR(VLOOKUP(A73,Devamsızlıklar!A:K,11,0),0)</f>
        <v>0</v>
      </c>
      <c r="V73" s="33">
        <f>VLOOKUP(U73,Aralıklar!$M$2:$O$6,3,1)</f>
        <v>50</v>
      </c>
      <c r="W73" s="40">
        <f>IF(X73=0,0,(T73+V73)*R73*VLOOKUP($W$2,'Kriter Ağırlık'!$A$1:$B$8,2,1)*E73)</f>
        <v>10</v>
      </c>
      <c r="X73" s="40">
        <f>IFERROR(VLOOKUP(A73,Devamsızlıklar!A:M,13,0),1)</f>
        <v>1</v>
      </c>
      <c r="Y73" s="40">
        <f>(OEE!$K$6*VLOOKUP($Y$2,'Kriter Ağırlık'!$A$1:$B$8,2,1))*X73*E73</f>
        <v>35</v>
      </c>
      <c r="Z73" s="40">
        <f>(TELEF!$I$10*VLOOKUP($Z$2,'Kriter Ağırlık'!$A$1:$B$8,2,1))*X73*E73</f>
        <v>15</v>
      </c>
      <c r="AA73" s="40">
        <f t="shared" si="8"/>
        <v>79.666666666666671</v>
      </c>
      <c r="AB73" s="1">
        <v>5</v>
      </c>
      <c r="AC73" s="33">
        <f>VLOOKUP(AB73,'Kriter Ağırlık'!$A$12:$C$17,3,0)</f>
        <v>18.5</v>
      </c>
      <c r="AD73" s="1">
        <v>3</v>
      </c>
      <c r="AE73" s="33">
        <f>VLOOKUP(AD73,'Kriter Ağırlık'!$E$12:$G$24,3,0)</f>
        <v>1.1499999999999999</v>
      </c>
      <c r="AF73" s="92">
        <f t="shared" si="9"/>
        <v>1694.9083333333333</v>
      </c>
      <c r="AG73" t="str">
        <f>VLOOKUP(A73,'Çalışan Listesi'!A:G,6,0)</f>
        <v>OPERATÖR</v>
      </c>
    </row>
    <row r="74" spans="1:33" x14ac:dyDescent="0.2">
      <c r="A74" s="2">
        <v>1937</v>
      </c>
      <c r="B74" s="3" t="s">
        <v>105</v>
      </c>
      <c r="C74" s="4">
        <v>40070</v>
      </c>
      <c r="D74" s="5">
        <f t="shared" ref="D74:D102" si="10">IF($AI$2-C74&gt;=90,90,$AI$2-C74)</f>
        <v>90</v>
      </c>
      <c r="E74" s="6">
        <f t="shared" si="7"/>
        <v>1</v>
      </c>
      <c r="F74" s="25" t="s">
        <v>431</v>
      </c>
      <c r="G74" s="3" t="s">
        <v>106</v>
      </c>
      <c r="H74" s="106" t="str">
        <f>VLOOKUP(A74,'Çalışan Listesi'!A:G,7,0)</f>
        <v>4.KADEME</v>
      </c>
      <c r="I74" s="65">
        <f>IFERROR(VLOOKUP(A74,'Kaizen Listesi'!A:H,8,0),0)</f>
        <v>0</v>
      </c>
      <c r="J74" s="65">
        <f>I74*VLOOKUP($I$2,'Kriter Ağırlık'!$A$1:$B$8,2,0)</f>
        <v>0</v>
      </c>
      <c r="K74" s="65">
        <f>IFERROR(VLOOKUP(A74,'Hata Kartı '!A:H,8,0),0)</f>
        <v>33.333333333333336</v>
      </c>
      <c r="L74" s="65">
        <f>K74*(VLOOKUP($K$2,'Kriter Ağırlık'!$A$1:$B$8,2,0))</f>
        <v>3.3333333333333339</v>
      </c>
      <c r="M74" s="65">
        <f>IFERROR(VLOOKUP(F74,'5S'!$B$8:$E$19,4,0),0)</f>
        <v>1</v>
      </c>
      <c r="N74" s="65">
        <f>VLOOKUP(M74,'5S'!$G$8:$I$14,3,1)*VLOOKUP($M$2,'Kriter Ağırlık'!$A$1:$B$8,2,0)*E74*X74</f>
        <v>8</v>
      </c>
      <c r="O74" s="1">
        <f>IFERROR(VLOOKUP(A74,Devamsızlıklar!A:K,10,0),0)</f>
        <v>0</v>
      </c>
      <c r="P74" s="40">
        <f>VLOOKUP(O74,Aralıklar!$A$2:$C$5,3,1)*VLOOKUP($O$2,'Kriter Ağırlık'!$A$1:$B$8,2,0)*E74*X74</f>
        <v>10</v>
      </c>
      <c r="Q74" s="1">
        <f>IFERROR(VLOOKUP(A74,Devamsızlıklar!A:K,8,0),0)</f>
        <v>0</v>
      </c>
      <c r="R74" s="33">
        <f>VLOOKUP(Q74,Aralıklar!$E$2:$G$5,3,1)</f>
        <v>1</v>
      </c>
      <c r="S74" s="33">
        <f>IFERROR(VLOOKUP(A74,Devamsızlıklar!A:K,9,0),0)</f>
        <v>0</v>
      </c>
      <c r="T74" s="33">
        <f>VLOOKUP(S74,Aralıklar!$I$2:$K$6,3,1)</f>
        <v>50</v>
      </c>
      <c r="U74" s="33">
        <f>IFERROR(VLOOKUP(A74,Devamsızlıklar!A:K,11,0),0)</f>
        <v>0</v>
      </c>
      <c r="V74" s="33">
        <f>VLOOKUP(U74,Aralıklar!$M$2:$O$6,3,1)</f>
        <v>50</v>
      </c>
      <c r="W74" s="40">
        <f>IF(X74=0,0,(T74+V74)*R74*VLOOKUP($W$2,'Kriter Ağırlık'!$A$1:$B$8,2,1)*E74)</f>
        <v>10</v>
      </c>
      <c r="X74" s="40">
        <f>IFERROR(VLOOKUP(A74,Devamsızlıklar!A:M,13,0),1)</f>
        <v>1</v>
      </c>
      <c r="Y74" s="40">
        <f>(OEE!$K$6*VLOOKUP($Y$2,'Kriter Ağırlık'!$A$1:$B$8,2,1))*X74*E74</f>
        <v>35</v>
      </c>
      <c r="Z74" s="40">
        <f>(TELEF!$I$10*VLOOKUP($Z$2,'Kriter Ağırlık'!$A$1:$B$8,2,1))*X74*E74</f>
        <v>15</v>
      </c>
      <c r="AA74" s="40">
        <f t="shared" si="8"/>
        <v>81.333333333333343</v>
      </c>
      <c r="AB74" s="1">
        <v>3</v>
      </c>
      <c r="AC74" s="33">
        <f>VLOOKUP(AB74,'Kriter Ağırlık'!$A$12:$C$17,3,0)</f>
        <v>0</v>
      </c>
      <c r="AD74" s="1">
        <v>2</v>
      </c>
      <c r="AE74" s="33">
        <f>VLOOKUP(AD74,'Kriter Ağırlık'!$E$12:$G$24,3,0)</f>
        <v>1.232</v>
      </c>
      <c r="AF74" s="92">
        <f t="shared" si="9"/>
        <v>0</v>
      </c>
      <c r="AG74" t="str">
        <f>VLOOKUP(A74,'Çalışan Listesi'!A:G,6,0)</f>
        <v>TAKIM LİDERİ</v>
      </c>
    </row>
    <row r="75" spans="1:33" x14ac:dyDescent="0.2">
      <c r="A75" s="2">
        <v>1991</v>
      </c>
      <c r="B75" s="3" t="s">
        <v>107</v>
      </c>
      <c r="C75" s="4">
        <v>40175</v>
      </c>
      <c r="D75" s="5">
        <f t="shared" si="10"/>
        <v>90</v>
      </c>
      <c r="E75" s="6">
        <f t="shared" si="7"/>
        <v>1</v>
      </c>
      <c r="F75" s="25" t="s">
        <v>431</v>
      </c>
      <c r="G75" s="3" t="s">
        <v>106</v>
      </c>
      <c r="H75" s="106" t="str">
        <f>VLOOKUP(A75,'Çalışan Listesi'!A:G,7,0)</f>
        <v>4.KADEME</v>
      </c>
      <c r="I75" s="65">
        <f>IFERROR(VLOOKUP(A75,'Kaizen Listesi'!A:H,8,0),0)</f>
        <v>0</v>
      </c>
      <c r="J75" s="65">
        <f>I75*VLOOKUP($I$2,'Kriter Ağırlık'!$A$1:$B$8,2,0)</f>
        <v>0</v>
      </c>
      <c r="K75" s="65">
        <f>IFERROR(VLOOKUP(A75,'Hata Kartı '!A:H,8,0),0)</f>
        <v>0</v>
      </c>
      <c r="L75" s="65">
        <f>K75*(VLOOKUP($K$2,'Kriter Ağırlık'!$A$1:$B$8,2,0))</f>
        <v>0</v>
      </c>
      <c r="M75" s="65">
        <f>IFERROR(VLOOKUP(F75,'5S'!$B$8:$E$19,4,0),0)</f>
        <v>1</v>
      </c>
      <c r="N75" s="65">
        <f>VLOOKUP(M75,'5S'!$G$8:$I$14,3,1)*VLOOKUP($M$2,'Kriter Ağırlık'!$A$1:$B$8,2,0)*E75*X75</f>
        <v>8</v>
      </c>
      <c r="O75" s="1">
        <f>IFERROR(VLOOKUP(A75,Devamsızlıklar!A:K,10,0),0)</f>
        <v>0</v>
      </c>
      <c r="P75" s="40">
        <f>VLOOKUP(O75,Aralıklar!$A$2:$C$5,3,1)*VLOOKUP($O$2,'Kriter Ağırlık'!$A$1:$B$8,2,0)*E75*X75</f>
        <v>10</v>
      </c>
      <c r="Q75" s="1">
        <f>IFERROR(VLOOKUP(A75,Devamsızlıklar!A:K,8,0),0)</f>
        <v>0</v>
      </c>
      <c r="R75" s="33">
        <f>VLOOKUP(Q75,Aralıklar!$E$2:$G$5,3,1)</f>
        <v>1</v>
      </c>
      <c r="S75" s="33">
        <f>IFERROR(VLOOKUP(A75,Devamsızlıklar!A:K,9,0),0)</f>
        <v>0</v>
      </c>
      <c r="T75" s="33">
        <f>VLOOKUP(S75,Aralıklar!$I$2:$K$6,3,1)</f>
        <v>50</v>
      </c>
      <c r="U75" s="33">
        <f>IFERROR(VLOOKUP(A75,Devamsızlıklar!A:K,11,0),0)</f>
        <v>0</v>
      </c>
      <c r="V75" s="33">
        <f>VLOOKUP(U75,Aralıklar!$M$2:$O$6,3,1)</f>
        <v>50</v>
      </c>
      <c r="W75" s="40">
        <f>IF(X75=0,0,(T75+V75)*R75*VLOOKUP($W$2,'Kriter Ağırlık'!$A$1:$B$8,2,1)*E75)</f>
        <v>10</v>
      </c>
      <c r="X75" s="40">
        <f>IFERROR(VLOOKUP(A75,Devamsızlıklar!A:M,13,0),1)</f>
        <v>1</v>
      </c>
      <c r="Y75" s="40">
        <f>(OEE!$K$6*VLOOKUP($Y$2,'Kriter Ağırlık'!$A$1:$B$8,2,1))*X75*E75</f>
        <v>35</v>
      </c>
      <c r="Z75" s="40">
        <f>(TELEF!$I$10*VLOOKUP($Z$2,'Kriter Ağırlık'!$A$1:$B$8,2,1))*X75*E75</f>
        <v>15</v>
      </c>
      <c r="AA75" s="40">
        <f t="shared" si="8"/>
        <v>78</v>
      </c>
      <c r="AB75" s="1">
        <v>3</v>
      </c>
      <c r="AC75" s="33">
        <f>VLOOKUP(AB75,'Kriter Ağırlık'!$A$12:$C$17,3,0)</f>
        <v>0</v>
      </c>
      <c r="AD75" s="1">
        <v>2</v>
      </c>
      <c r="AE75" s="33">
        <f>VLOOKUP(AD75,'Kriter Ağırlık'!$E$12:$G$24,3,0)</f>
        <v>1.232</v>
      </c>
      <c r="AF75" s="92">
        <f t="shared" si="9"/>
        <v>0</v>
      </c>
      <c r="AG75" t="str">
        <f>VLOOKUP(A75,'Çalışan Listesi'!A:G,6,0)</f>
        <v>TAKIM LİDERİ</v>
      </c>
    </row>
    <row r="76" spans="1:33" x14ac:dyDescent="0.2">
      <c r="A76" s="2">
        <v>1999</v>
      </c>
      <c r="B76" s="3" t="s">
        <v>108</v>
      </c>
      <c r="C76" s="4">
        <v>40191</v>
      </c>
      <c r="D76" s="5">
        <f t="shared" si="10"/>
        <v>90</v>
      </c>
      <c r="E76" s="6">
        <f t="shared" si="7"/>
        <v>1</v>
      </c>
      <c r="F76" s="25" t="s">
        <v>427</v>
      </c>
      <c r="G76" s="3" t="s">
        <v>109</v>
      </c>
      <c r="H76" s="106" t="str">
        <f>VLOOKUP(A76,'Çalışan Listesi'!A:G,7,0)</f>
        <v>4.KADEME</v>
      </c>
      <c r="I76" s="65">
        <f>IFERROR(VLOOKUP(A76,'Kaizen Listesi'!A:H,8,0),0)</f>
        <v>0</v>
      </c>
      <c r="J76" s="65">
        <f>I76*VLOOKUP($I$2,'Kriter Ağırlık'!$A$1:$B$8,2,0)</f>
        <v>0</v>
      </c>
      <c r="K76" s="65">
        <f>IFERROR(VLOOKUP(A76,'Hata Kartı '!A:H,8,0),0)</f>
        <v>33.333333333333336</v>
      </c>
      <c r="L76" s="65">
        <f>K76*(VLOOKUP($K$2,'Kriter Ağırlık'!$A$1:$B$8,2,0))</f>
        <v>3.3333333333333339</v>
      </c>
      <c r="M76" s="65">
        <f>IFERROR(VLOOKUP(F76,'5S'!$B$8:$E$19,4,0),0)</f>
        <v>1</v>
      </c>
      <c r="N76" s="65">
        <f>VLOOKUP(M76,'5S'!$G$8:$I$14,3,1)*VLOOKUP($M$2,'Kriter Ağırlık'!$A$1:$B$8,2,0)*E76*X76</f>
        <v>8</v>
      </c>
      <c r="O76" s="1">
        <f>IFERROR(VLOOKUP(A76,Devamsızlıklar!A:K,10,0),0)</f>
        <v>0</v>
      </c>
      <c r="P76" s="40">
        <f>VLOOKUP(O76,Aralıklar!$A$2:$C$5,3,1)*VLOOKUP($O$2,'Kriter Ağırlık'!$A$1:$B$8,2,0)*E76*X76</f>
        <v>10</v>
      </c>
      <c r="Q76" s="1">
        <f>IFERROR(VLOOKUP(A76,Devamsızlıklar!A:K,8,0),0)</f>
        <v>0</v>
      </c>
      <c r="R76" s="33">
        <f>VLOOKUP(Q76,Aralıklar!$E$2:$G$5,3,1)</f>
        <v>1</v>
      </c>
      <c r="S76" s="33">
        <f>IFERROR(VLOOKUP(A76,Devamsızlıklar!A:K,9,0),0)</f>
        <v>0</v>
      </c>
      <c r="T76" s="33">
        <f>VLOOKUP(S76,Aralıklar!$I$2:$K$6,3,1)</f>
        <v>50</v>
      </c>
      <c r="U76" s="33">
        <f>IFERROR(VLOOKUP(A76,Devamsızlıklar!A:K,11,0),0)</f>
        <v>0</v>
      </c>
      <c r="V76" s="33">
        <f>VLOOKUP(U76,Aralıklar!$M$2:$O$6,3,1)</f>
        <v>50</v>
      </c>
      <c r="W76" s="40">
        <f>IF(X76=0,0,(T76+V76)*R76*VLOOKUP($W$2,'Kriter Ağırlık'!$A$1:$B$8,2,1)*E76)</f>
        <v>10</v>
      </c>
      <c r="X76" s="40">
        <f>IFERROR(VLOOKUP(A76,Devamsızlıklar!A:M,13,0),1)</f>
        <v>1</v>
      </c>
      <c r="Y76" s="40">
        <f>(OEE!$K$6*VLOOKUP($Y$2,'Kriter Ağırlık'!$A$1:$B$8,2,1))*X76*E76</f>
        <v>35</v>
      </c>
      <c r="Z76" s="40">
        <f>(TELEF!$I$10*VLOOKUP($Z$2,'Kriter Ağırlık'!$A$1:$B$8,2,1))*X76*E76</f>
        <v>15</v>
      </c>
      <c r="AA76" s="40">
        <f t="shared" si="8"/>
        <v>81.333333333333343</v>
      </c>
      <c r="AB76" s="1">
        <v>5</v>
      </c>
      <c r="AC76" s="33">
        <f>VLOOKUP(AB76,'Kriter Ağırlık'!$A$12:$C$17,3,0)</f>
        <v>18.5</v>
      </c>
      <c r="AD76" s="1">
        <v>2</v>
      </c>
      <c r="AE76" s="33">
        <f>VLOOKUP(AD76,'Kriter Ağırlık'!$E$12:$G$24,3,0)</f>
        <v>1.232</v>
      </c>
      <c r="AF76" s="92">
        <f t="shared" si="9"/>
        <v>1853.7493333333334</v>
      </c>
      <c r="AG76" t="str">
        <f>VLOOKUP(A76,'Çalışan Listesi'!A:G,6,0)</f>
        <v>OPERATÖR</v>
      </c>
    </row>
    <row r="77" spans="1:33" x14ac:dyDescent="0.2">
      <c r="A77" s="2">
        <v>2008</v>
      </c>
      <c r="B77" s="3" t="s">
        <v>110</v>
      </c>
      <c r="C77" s="4">
        <v>40204</v>
      </c>
      <c r="D77" s="5">
        <f t="shared" si="10"/>
        <v>90</v>
      </c>
      <c r="E77" s="6">
        <f t="shared" si="7"/>
        <v>1</v>
      </c>
      <c r="F77" s="25" t="s">
        <v>421</v>
      </c>
      <c r="G77" s="3" t="s">
        <v>86</v>
      </c>
      <c r="H77" s="106" t="str">
        <f>VLOOKUP(A77,'Çalışan Listesi'!A:G,7,0)</f>
        <v>3.KADEME</v>
      </c>
      <c r="I77" s="65">
        <f>IFERROR(VLOOKUP(A77,'Kaizen Listesi'!A:H,8,0),0)</f>
        <v>0</v>
      </c>
      <c r="J77" s="65">
        <f>I77*VLOOKUP($I$2,'Kriter Ağırlık'!$A$1:$B$8,2,0)</f>
        <v>0</v>
      </c>
      <c r="K77" s="65">
        <f>IFERROR(VLOOKUP(A77,'Hata Kartı '!A:H,8,0),0)</f>
        <v>0</v>
      </c>
      <c r="L77" s="65">
        <f>K77*(VLOOKUP($K$2,'Kriter Ağırlık'!$A$1:$B$8,2,0))</f>
        <v>0</v>
      </c>
      <c r="M77" s="65">
        <f>IFERROR(VLOOKUP(F77,'5S'!$B$8:$E$19,4,0),0)</f>
        <v>1</v>
      </c>
      <c r="N77" s="65">
        <f>VLOOKUP(M77,'5S'!$G$8:$I$14,3,1)*VLOOKUP($M$2,'Kriter Ağırlık'!$A$1:$B$8,2,0)*E77*X77</f>
        <v>8</v>
      </c>
      <c r="O77" s="1">
        <f>IFERROR(VLOOKUP(A77,Devamsızlıklar!A:K,10,0),0)</f>
        <v>0</v>
      </c>
      <c r="P77" s="40">
        <f>VLOOKUP(O77,Aralıklar!$A$2:$C$5,3,1)*VLOOKUP($O$2,'Kriter Ağırlık'!$A$1:$B$8,2,0)*E77*X77</f>
        <v>10</v>
      </c>
      <c r="Q77" s="1">
        <f>IFERROR(VLOOKUP(A77,Devamsızlıklar!A:K,8,0),0)</f>
        <v>0</v>
      </c>
      <c r="R77" s="33">
        <f>VLOOKUP(Q77,Aralıklar!$E$2:$G$5,3,1)</f>
        <v>1</v>
      </c>
      <c r="S77" s="33">
        <f>IFERROR(VLOOKUP(A77,Devamsızlıklar!A:K,9,0),0)</f>
        <v>0</v>
      </c>
      <c r="T77" s="33">
        <f>VLOOKUP(S77,Aralıklar!$I$2:$K$6,3,1)</f>
        <v>50</v>
      </c>
      <c r="U77" s="33">
        <f>IFERROR(VLOOKUP(A77,Devamsızlıklar!A:K,11,0),0)</f>
        <v>0</v>
      </c>
      <c r="V77" s="33">
        <f>VLOOKUP(U77,Aralıklar!$M$2:$O$6,3,1)</f>
        <v>50</v>
      </c>
      <c r="W77" s="40">
        <f>IF(X77=0,0,(T77+V77)*R77*VLOOKUP($W$2,'Kriter Ağırlık'!$A$1:$B$8,2,1)*E77)</f>
        <v>10</v>
      </c>
      <c r="X77" s="40">
        <f>IFERROR(VLOOKUP(A77,Devamsızlıklar!A:M,13,0),1)</f>
        <v>1</v>
      </c>
      <c r="Y77" s="40">
        <f>(OEE!$K$6*VLOOKUP($Y$2,'Kriter Ağırlık'!$A$1:$B$8,2,1))*X77*E77</f>
        <v>35</v>
      </c>
      <c r="Z77" s="40">
        <f>(TELEF!$I$10*VLOOKUP($Z$2,'Kriter Ağırlık'!$A$1:$B$8,2,1))*X77*E77</f>
        <v>15</v>
      </c>
      <c r="AA77" s="40">
        <f t="shared" si="8"/>
        <v>78</v>
      </c>
      <c r="AB77" s="1">
        <v>5</v>
      </c>
      <c r="AC77" s="33">
        <f>VLOOKUP(AB77,'Kriter Ağırlık'!$A$12:$C$17,3,0)</f>
        <v>18.5</v>
      </c>
      <c r="AD77" s="1">
        <v>3</v>
      </c>
      <c r="AE77" s="33">
        <f>VLOOKUP(AD77,'Kriter Ağırlık'!$E$12:$G$24,3,0)</f>
        <v>1.1499999999999999</v>
      </c>
      <c r="AF77" s="92">
        <f t="shared" si="9"/>
        <v>1659.4499999999998</v>
      </c>
      <c r="AG77" t="str">
        <f>VLOOKUP(A77,'Çalışan Listesi'!A:G,6,0)</f>
        <v>OPERATÖR</v>
      </c>
    </row>
    <row r="78" spans="1:33" x14ac:dyDescent="0.2">
      <c r="A78" s="2">
        <v>2041</v>
      </c>
      <c r="B78" s="3" t="s">
        <v>111</v>
      </c>
      <c r="C78" s="4">
        <v>40254</v>
      </c>
      <c r="D78" s="5">
        <f t="shared" si="10"/>
        <v>90</v>
      </c>
      <c r="E78" s="6">
        <f t="shared" si="7"/>
        <v>1</v>
      </c>
      <c r="F78" s="25" t="s">
        <v>421</v>
      </c>
      <c r="G78" s="3" t="s">
        <v>99</v>
      </c>
      <c r="H78" s="106" t="str">
        <f>VLOOKUP(A78,'Çalışan Listesi'!A:G,7,0)</f>
        <v>4.KADEME</v>
      </c>
      <c r="I78" s="65">
        <f>IFERROR(VLOOKUP(A78,'Kaizen Listesi'!A:H,8,0),0)</f>
        <v>0</v>
      </c>
      <c r="J78" s="65">
        <f>I78*VLOOKUP($I$2,'Kriter Ağırlık'!$A$1:$B$8,2,0)</f>
        <v>0</v>
      </c>
      <c r="K78" s="65">
        <f>IFERROR(VLOOKUP(A78,'Hata Kartı '!A:H,8,0),0)</f>
        <v>66.666666666666671</v>
      </c>
      <c r="L78" s="65">
        <f>K78*(VLOOKUP($K$2,'Kriter Ağırlık'!$A$1:$B$8,2,0))</f>
        <v>6.6666666666666679</v>
      </c>
      <c r="M78" s="65">
        <f>IFERROR(VLOOKUP(F78,'5S'!$B$8:$E$19,4,0),0)</f>
        <v>1</v>
      </c>
      <c r="N78" s="65">
        <f>VLOOKUP(M78,'5S'!$G$8:$I$14,3,1)*VLOOKUP($M$2,'Kriter Ağırlık'!$A$1:$B$8,2,0)*E78*X78</f>
        <v>7.4666666666666668</v>
      </c>
      <c r="O78" s="1">
        <f>IFERROR(VLOOKUP(A78,Devamsızlıklar!A:K,10,0),0)</f>
        <v>0</v>
      </c>
      <c r="P78" s="40">
        <f>VLOOKUP(O78,Aralıklar!$A$2:$C$5,3,1)*VLOOKUP($O$2,'Kriter Ağırlık'!$A$1:$B$8,2,0)*E78*X78</f>
        <v>9.3333333333333339</v>
      </c>
      <c r="Q78" s="1">
        <f>IFERROR(VLOOKUP(A78,Devamsızlıklar!A:K,8,0),0)</f>
        <v>0</v>
      </c>
      <c r="R78" s="33">
        <f>VLOOKUP(Q78,Aralıklar!$E$2:$G$5,3,1)</f>
        <v>1</v>
      </c>
      <c r="S78" s="33">
        <f>IFERROR(VLOOKUP(A78,Devamsızlıklar!A:K,9,0),0)</f>
        <v>0</v>
      </c>
      <c r="T78" s="33">
        <f>VLOOKUP(S78,Aralıklar!$I$2:$K$6,3,1)</f>
        <v>50</v>
      </c>
      <c r="U78" s="33">
        <f>IFERROR(VLOOKUP(A78,Devamsızlıklar!A:K,11,0),0)</f>
        <v>0</v>
      </c>
      <c r="V78" s="33">
        <f>VLOOKUP(U78,Aralıklar!$M$2:$O$6,3,1)</f>
        <v>50</v>
      </c>
      <c r="W78" s="40">
        <f>IF(X78=0,0,(T78+V78)*R78*VLOOKUP($W$2,'Kriter Ağırlık'!$A$1:$B$8,2,1)*E78)</f>
        <v>10</v>
      </c>
      <c r="X78" s="40">
        <f>IFERROR(VLOOKUP(A78,Devamsızlıklar!A:M,13,0),1)</f>
        <v>0.93333333333333335</v>
      </c>
      <c r="Y78" s="40">
        <f>(OEE!$K$6*VLOOKUP($Y$2,'Kriter Ağırlık'!$A$1:$B$8,2,1))*X78*E78</f>
        <v>32.666666666666664</v>
      </c>
      <c r="Z78" s="40">
        <f>(TELEF!$I$10*VLOOKUP($Z$2,'Kriter Ağırlık'!$A$1:$B$8,2,1))*X78*E78</f>
        <v>14</v>
      </c>
      <c r="AA78" s="40">
        <f t="shared" si="8"/>
        <v>80.133333333333326</v>
      </c>
      <c r="AB78" s="1">
        <v>3</v>
      </c>
      <c r="AC78" s="33">
        <f>VLOOKUP(AB78,'Kriter Ağırlık'!$A$12:$C$17,3,0)</f>
        <v>0</v>
      </c>
      <c r="AD78" s="1">
        <v>2</v>
      </c>
      <c r="AE78" s="33">
        <f>VLOOKUP(AD78,'Kriter Ağırlık'!$E$12:$G$24,3,0)</f>
        <v>1.232</v>
      </c>
      <c r="AF78" s="92">
        <f t="shared" si="9"/>
        <v>0</v>
      </c>
      <c r="AG78" t="str">
        <f>VLOOKUP(A78,'Çalışan Listesi'!A:G,6,0)</f>
        <v>TAKIM LİDERİ</v>
      </c>
    </row>
    <row r="79" spans="1:33" x14ac:dyDescent="0.2">
      <c r="A79" s="2">
        <v>2062</v>
      </c>
      <c r="B79" s="3" t="s">
        <v>112</v>
      </c>
      <c r="C79" s="4">
        <v>40290</v>
      </c>
      <c r="D79" s="5">
        <f t="shared" si="10"/>
        <v>90</v>
      </c>
      <c r="E79" s="6">
        <f t="shared" si="7"/>
        <v>1</v>
      </c>
      <c r="F79" s="25" t="s">
        <v>434</v>
      </c>
      <c r="G79" s="3" t="s">
        <v>56</v>
      </c>
      <c r="H79" s="106" t="str">
        <f>VLOOKUP(A79,'Çalışan Listesi'!A:G,7,0)</f>
        <v>SÜPERVİZÖR</v>
      </c>
      <c r="I79" s="65">
        <f>IFERROR(VLOOKUP(A79,'Kaizen Listesi'!A:H,8,0),0)</f>
        <v>0</v>
      </c>
      <c r="J79" s="65">
        <f>I79*VLOOKUP($I$2,'Kriter Ağırlık'!$A$1:$B$8,2,0)</f>
        <v>0</v>
      </c>
      <c r="K79" s="65">
        <f>IFERROR(VLOOKUP(A79,'Hata Kartı '!A:H,8,0),0)</f>
        <v>0</v>
      </c>
      <c r="L79" s="65">
        <f>K79*(VLOOKUP($K$2,'Kriter Ağırlık'!$A$1:$B$8,2,0))</f>
        <v>0</v>
      </c>
      <c r="M79" s="65">
        <f>IFERROR(VLOOKUP(F79,'5S'!$B$8:$E$19,4,0),0)</f>
        <v>0</v>
      </c>
      <c r="N79" s="65">
        <f>VLOOKUP(M79,'5S'!$G$8:$I$14,3,1)*VLOOKUP($M$2,'Kriter Ağırlık'!$A$1:$B$8,2,0)*E79*X79</f>
        <v>0</v>
      </c>
      <c r="O79" s="1">
        <f>IFERROR(VLOOKUP(A79,Devamsızlıklar!A:K,10,0),0)</f>
        <v>0</v>
      </c>
      <c r="P79" s="40">
        <f>VLOOKUP(O79,Aralıklar!$A$2:$C$5,3,1)*VLOOKUP($O$2,'Kriter Ağırlık'!$A$1:$B$8,2,0)*E79*X79</f>
        <v>10</v>
      </c>
      <c r="Q79" s="1">
        <f>IFERROR(VLOOKUP(A79,Devamsızlıklar!A:K,8,0),0)</f>
        <v>0</v>
      </c>
      <c r="R79" s="33">
        <f>VLOOKUP(Q79,Aralıklar!$E$2:$G$5,3,1)</f>
        <v>1</v>
      </c>
      <c r="S79" s="33">
        <f>IFERROR(VLOOKUP(A79,Devamsızlıklar!A:K,9,0),0)</f>
        <v>0</v>
      </c>
      <c r="T79" s="33">
        <f>VLOOKUP(S79,Aralıklar!$I$2:$K$6,3,1)</f>
        <v>50</v>
      </c>
      <c r="U79" s="33">
        <f>IFERROR(VLOOKUP(A79,Devamsızlıklar!A:K,11,0),0)</f>
        <v>0</v>
      </c>
      <c r="V79" s="33">
        <f>VLOOKUP(U79,Aralıklar!$M$2:$O$6,3,1)</f>
        <v>50</v>
      </c>
      <c r="W79" s="40">
        <f>IF(X79=0,0,(T79+V79)*R79*VLOOKUP($W$2,'Kriter Ağırlık'!$A$1:$B$8,2,1)*E79)</f>
        <v>10</v>
      </c>
      <c r="X79" s="40">
        <f>IFERROR(VLOOKUP(A79,Devamsızlıklar!A:M,13,0),1)</f>
        <v>1</v>
      </c>
      <c r="Y79" s="40">
        <f>(OEE!$K$6*VLOOKUP($Y$2,'Kriter Ağırlık'!$A$1:$B$8,2,1))*X79*E79</f>
        <v>35</v>
      </c>
      <c r="Z79" s="40">
        <f>(TELEF!$I$10*VLOOKUP($Z$2,'Kriter Ağırlık'!$A$1:$B$8,2,1))*X79*E79</f>
        <v>15</v>
      </c>
      <c r="AA79" s="40">
        <f t="shared" si="8"/>
        <v>70</v>
      </c>
      <c r="AB79" s="1">
        <v>2</v>
      </c>
      <c r="AC79" s="33">
        <f>VLOOKUP(AB79,'Kriter Ağırlık'!$A$12:$C$17,3,0)</f>
        <v>0</v>
      </c>
      <c r="AD79" s="75">
        <v>1</v>
      </c>
      <c r="AE79" s="33">
        <f>VLOOKUP(AD79,'Kriter Ağırlık'!$E$12:$G$24,3,0)</f>
        <v>1</v>
      </c>
      <c r="AF79" s="92">
        <f t="shared" si="9"/>
        <v>0</v>
      </c>
      <c r="AG79" t="str">
        <f>VLOOKUP(A79,'Çalışan Listesi'!A:G,6,0)</f>
        <v>GRUP LİDERİ</v>
      </c>
    </row>
    <row r="80" spans="1:33" x14ac:dyDescent="0.2">
      <c r="A80" s="2">
        <v>2138</v>
      </c>
      <c r="B80" s="3" t="s">
        <v>113</v>
      </c>
      <c r="C80" s="4">
        <v>40345</v>
      </c>
      <c r="D80" s="5">
        <f t="shared" si="10"/>
        <v>90</v>
      </c>
      <c r="E80" s="6">
        <f t="shared" si="7"/>
        <v>1</v>
      </c>
      <c r="F80" s="25" t="s">
        <v>429</v>
      </c>
      <c r="G80" s="3" t="s">
        <v>22</v>
      </c>
      <c r="H80" s="106" t="str">
        <f>VLOOKUP(A80,'Çalışan Listesi'!A:G,7,0)</f>
        <v>4.KADEME</v>
      </c>
      <c r="I80" s="65">
        <f>IFERROR(VLOOKUP(A80,'Kaizen Listesi'!A:H,8,0),0)</f>
        <v>0</v>
      </c>
      <c r="J80" s="65">
        <f>I80*VLOOKUP($I$2,'Kriter Ağırlık'!$A$1:$B$8,2,0)</f>
        <v>0</v>
      </c>
      <c r="K80" s="65">
        <f>IFERROR(VLOOKUP(A80,'Hata Kartı '!A:H,8,0),0)</f>
        <v>0</v>
      </c>
      <c r="L80" s="65">
        <f>K80*(VLOOKUP($K$2,'Kriter Ağırlık'!$A$1:$B$8,2,0))</f>
        <v>0</v>
      </c>
      <c r="M80" s="65">
        <f>IFERROR(VLOOKUP(F80,'5S'!$B$8:$E$19,4,0),0)</f>
        <v>1</v>
      </c>
      <c r="N80" s="65">
        <f>VLOOKUP(M80,'5S'!$G$8:$I$14,3,1)*VLOOKUP($M$2,'Kriter Ağırlık'!$A$1:$B$8,2,0)*E80*X80</f>
        <v>8</v>
      </c>
      <c r="O80" s="1">
        <f>IFERROR(VLOOKUP(A80,Devamsızlıklar!A:K,10,0),0)</f>
        <v>0</v>
      </c>
      <c r="P80" s="40">
        <f>VLOOKUP(O80,Aralıklar!$A$2:$C$5,3,1)*VLOOKUP($O$2,'Kriter Ağırlık'!$A$1:$B$8,2,0)*E80*X80</f>
        <v>10</v>
      </c>
      <c r="Q80" s="1">
        <f>IFERROR(VLOOKUP(A80,Devamsızlıklar!A:K,8,0),0)</f>
        <v>0</v>
      </c>
      <c r="R80" s="33">
        <f>VLOOKUP(Q80,Aralıklar!$E$2:$G$5,3,1)</f>
        <v>1</v>
      </c>
      <c r="S80" s="33">
        <f>IFERROR(VLOOKUP(A80,Devamsızlıklar!A:K,9,0),0)</f>
        <v>0</v>
      </c>
      <c r="T80" s="33">
        <f>VLOOKUP(S80,Aralıklar!$I$2:$K$6,3,1)</f>
        <v>50</v>
      </c>
      <c r="U80" s="33">
        <f>IFERROR(VLOOKUP(A80,Devamsızlıklar!A:K,11,0),0)</f>
        <v>0</v>
      </c>
      <c r="V80" s="33">
        <f>VLOOKUP(U80,Aralıklar!$M$2:$O$6,3,1)</f>
        <v>50</v>
      </c>
      <c r="W80" s="40">
        <f>IF(X80=0,0,(T80+V80)*R80*VLOOKUP($W$2,'Kriter Ağırlık'!$A$1:$B$8,2,1)*E80)</f>
        <v>10</v>
      </c>
      <c r="X80" s="40">
        <f>IFERROR(VLOOKUP(A80,Devamsızlıklar!A:M,13,0),1)</f>
        <v>1</v>
      </c>
      <c r="Y80" s="40">
        <f>(OEE!$K$6*VLOOKUP($Y$2,'Kriter Ağırlık'!$A$1:$B$8,2,1))*X80*E80</f>
        <v>35</v>
      </c>
      <c r="Z80" s="40">
        <f>(TELEF!$I$10*VLOOKUP($Z$2,'Kriter Ağırlık'!$A$1:$B$8,2,1))*X80*E80</f>
        <v>15</v>
      </c>
      <c r="AA80" s="40">
        <f t="shared" si="8"/>
        <v>78</v>
      </c>
      <c r="AB80" s="1">
        <v>4</v>
      </c>
      <c r="AC80" s="33">
        <f>VLOOKUP(AB80,'Kriter Ağırlık'!$A$12:$C$17,3,0)</f>
        <v>13.5</v>
      </c>
      <c r="AD80" s="1">
        <v>1</v>
      </c>
      <c r="AE80" s="33">
        <f>VLOOKUP(AD80,'Kriter Ağırlık'!$E$12:$G$24,3,0)</f>
        <v>1</v>
      </c>
      <c r="AF80" s="92">
        <f t="shared" si="9"/>
        <v>1053</v>
      </c>
      <c r="AG80" t="str">
        <f>VLOOKUP(A80,'Çalışan Listesi'!A:G,6,0)</f>
        <v>TAKIM LİDERİ YARDIMCISI</v>
      </c>
    </row>
    <row r="81" spans="1:33" x14ac:dyDescent="0.2">
      <c r="A81" s="2">
        <v>2154</v>
      </c>
      <c r="B81" s="3" t="s">
        <v>114</v>
      </c>
      <c r="C81" s="4">
        <v>40385</v>
      </c>
      <c r="D81" s="5">
        <f t="shared" si="10"/>
        <v>90</v>
      </c>
      <c r="E81" s="6">
        <f t="shared" si="7"/>
        <v>1</v>
      </c>
      <c r="F81" s="25" t="s">
        <v>422</v>
      </c>
      <c r="G81" s="3" t="s">
        <v>90</v>
      </c>
      <c r="H81" s="106" t="str">
        <f>VLOOKUP(A81,'Çalışan Listesi'!A:G,7,0)</f>
        <v>4.KADEME</v>
      </c>
      <c r="I81" s="65">
        <f>IFERROR(VLOOKUP(A81,'Kaizen Listesi'!A:H,8,0),0)</f>
        <v>0</v>
      </c>
      <c r="J81" s="65">
        <f>I81*VLOOKUP($I$2,'Kriter Ağırlık'!$A$1:$B$8,2,0)</f>
        <v>0</v>
      </c>
      <c r="K81" s="65">
        <f>IFERROR(VLOOKUP(A81,'Hata Kartı '!A:H,8,0),0)</f>
        <v>0</v>
      </c>
      <c r="L81" s="65">
        <f>K81*(VLOOKUP($K$2,'Kriter Ağırlık'!$A$1:$B$8,2,0))</f>
        <v>0</v>
      </c>
      <c r="M81" s="65">
        <f>IFERROR(VLOOKUP(F81,'5S'!$B$8:$E$19,4,0),0)</f>
        <v>1</v>
      </c>
      <c r="N81" s="65">
        <f>VLOOKUP(M81,'5S'!$G$8:$I$14,3,1)*VLOOKUP($M$2,'Kriter Ağırlık'!$A$1:$B$8,2,0)*E81*X81</f>
        <v>4.177777777777778</v>
      </c>
      <c r="O81" s="1">
        <f>IFERROR(VLOOKUP(A81,Devamsızlıklar!A:K,10,0),0)</f>
        <v>0</v>
      </c>
      <c r="P81" s="40">
        <f>VLOOKUP(O81,Aralıklar!$A$2:$C$5,3,1)*VLOOKUP($O$2,'Kriter Ağırlık'!$A$1:$B$8,2,0)*E81*X81</f>
        <v>5.2222222222222223</v>
      </c>
      <c r="Q81" s="1">
        <f>IFERROR(VLOOKUP(A81,Devamsızlıklar!A:K,8,0),0)</f>
        <v>0</v>
      </c>
      <c r="R81" s="33">
        <f>VLOOKUP(Q81,Aralıklar!$E$2:$G$5,3,1)</f>
        <v>1</v>
      </c>
      <c r="S81" s="33">
        <f>IFERROR(VLOOKUP(A81,Devamsızlıklar!A:K,9,0),0)</f>
        <v>0</v>
      </c>
      <c r="T81" s="33">
        <f>VLOOKUP(S81,Aralıklar!$I$2:$K$6,3,1)</f>
        <v>50</v>
      </c>
      <c r="U81" s="33">
        <f>IFERROR(VLOOKUP(A81,Devamsızlıklar!A:K,11,0),0)</f>
        <v>0</v>
      </c>
      <c r="V81" s="33">
        <f>VLOOKUP(U81,Aralıklar!$M$2:$O$6,3,1)</f>
        <v>50</v>
      </c>
      <c r="W81" s="40">
        <f>IF(X81=0,0,(T81+V81)*R81*VLOOKUP($W$2,'Kriter Ağırlık'!$A$1:$B$8,2,1)*E81)</f>
        <v>10</v>
      </c>
      <c r="X81" s="40">
        <f>IFERROR(VLOOKUP(A81,Devamsızlıklar!A:M,13,0),1)</f>
        <v>0.52222222222222225</v>
      </c>
      <c r="Y81" s="40">
        <f>(OEE!$K$6*VLOOKUP($Y$2,'Kriter Ağırlık'!$A$1:$B$8,2,1))*X81*E81</f>
        <v>18.277777777777779</v>
      </c>
      <c r="Z81" s="40">
        <f>(TELEF!$I$10*VLOOKUP($Z$2,'Kriter Ağırlık'!$A$1:$B$8,2,1))*X81*E81</f>
        <v>7.8333333333333339</v>
      </c>
      <c r="AA81" s="40">
        <f t="shared" si="8"/>
        <v>45.511111111111113</v>
      </c>
      <c r="AB81" s="1">
        <v>3</v>
      </c>
      <c r="AC81" s="33">
        <f>VLOOKUP(AB81,'Kriter Ağırlık'!$A$12:$C$17,3,0)</f>
        <v>0</v>
      </c>
      <c r="AD81" s="76">
        <v>2</v>
      </c>
      <c r="AE81" s="33">
        <f>VLOOKUP(AD81,'Kriter Ağırlık'!$E$12:$G$24,3,0)</f>
        <v>1.232</v>
      </c>
      <c r="AF81" s="92">
        <f t="shared" si="9"/>
        <v>0</v>
      </c>
      <c r="AG81" t="str">
        <f>VLOOKUP(A81,'Çalışan Listesi'!A:G,6,0)</f>
        <v>TAKIM LİDERİ</v>
      </c>
    </row>
    <row r="82" spans="1:33" x14ac:dyDescent="0.2">
      <c r="A82" s="2">
        <v>2190</v>
      </c>
      <c r="B82" s="3" t="s">
        <v>115</v>
      </c>
      <c r="C82" s="4">
        <v>40449</v>
      </c>
      <c r="D82" s="5">
        <f t="shared" si="10"/>
        <v>90</v>
      </c>
      <c r="E82" s="6">
        <f t="shared" si="7"/>
        <v>1</v>
      </c>
      <c r="F82" s="25" t="s">
        <v>421</v>
      </c>
      <c r="G82" s="3" t="s">
        <v>10</v>
      </c>
      <c r="H82" s="106" t="str">
        <f>VLOOKUP(A82,'Çalışan Listesi'!A:G,7,0)</f>
        <v>3.KADEME</v>
      </c>
      <c r="I82" s="65">
        <f>IFERROR(VLOOKUP(A82,'Kaizen Listesi'!A:H,8,0),0)</f>
        <v>0</v>
      </c>
      <c r="J82" s="65">
        <f>I82*VLOOKUP($I$2,'Kriter Ağırlık'!$A$1:$B$8,2,0)</f>
        <v>0</v>
      </c>
      <c r="K82" s="65">
        <f>IFERROR(VLOOKUP(A82,'Hata Kartı '!A:H,8,0),0)</f>
        <v>0</v>
      </c>
      <c r="L82" s="65">
        <f>K82*(VLOOKUP($K$2,'Kriter Ağırlık'!$A$1:$B$8,2,0))</f>
        <v>0</v>
      </c>
      <c r="M82" s="65">
        <f>IFERROR(VLOOKUP(F82,'5S'!$B$8:$E$19,4,0),0)</f>
        <v>1</v>
      </c>
      <c r="N82" s="65">
        <f>VLOOKUP(M82,'5S'!$G$8:$I$14,3,1)*VLOOKUP($M$2,'Kriter Ağırlık'!$A$1:$B$8,2,0)*E82*X82</f>
        <v>8</v>
      </c>
      <c r="O82" s="1">
        <f>IFERROR(VLOOKUP(A82,Devamsızlıklar!A:K,10,0),0)</f>
        <v>0</v>
      </c>
      <c r="P82" s="40">
        <f>VLOOKUP(O82,Aralıklar!$A$2:$C$5,3,1)*VLOOKUP($O$2,'Kriter Ağırlık'!$A$1:$B$8,2,0)*E82*X82</f>
        <v>10</v>
      </c>
      <c r="Q82" s="1">
        <f>IFERROR(VLOOKUP(A82,Devamsızlıklar!A:K,8,0),0)</f>
        <v>0</v>
      </c>
      <c r="R82" s="33">
        <f>VLOOKUP(Q82,Aralıklar!$E$2:$G$5,3,1)</f>
        <v>1</v>
      </c>
      <c r="S82" s="33">
        <f>IFERROR(VLOOKUP(A82,Devamsızlıklar!A:K,9,0),0)</f>
        <v>0</v>
      </c>
      <c r="T82" s="33">
        <f>VLOOKUP(S82,Aralıklar!$I$2:$K$6,3,1)</f>
        <v>50</v>
      </c>
      <c r="U82" s="33">
        <f>IFERROR(VLOOKUP(A82,Devamsızlıklar!A:K,11,0),0)</f>
        <v>0</v>
      </c>
      <c r="V82" s="33">
        <f>VLOOKUP(U82,Aralıklar!$M$2:$O$6,3,1)</f>
        <v>50</v>
      </c>
      <c r="W82" s="40">
        <f>IF(X82=0,0,(T82+V82)*R82*VLOOKUP($W$2,'Kriter Ağırlık'!$A$1:$B$8,2,1)*E82)</f>
        <v>10</v>
      </c>
      <c r="X82" s="40">
        <f>IFERROR(VLOOKUP(A82,Devamsızlıklar!A:M,13,0),1)</f>
        <v>1</v>
      </c>
      <c r="Y82" s="40">
        <f>(OEE!$K$6*VLOOKUP($Y$2,'Kriter Ağırlık'!$A$1:$B$8,2,1))*X82*E82</f>
        <v>35</v>
      </c>
      <c r="Z82" s="40">
        <f>(TELEF!$I$10*VLOOKUP($Z$2,'Kriter Ağırlık'!$A$1:$B$8,2,1))*X82*E82</f>
        <v>15</v>
      </c>
      <c r="AA82" s="40">
        <f t="shared" si="8"/>
        <v>78</v>
      </c>
      <c r="AB82" s="1">
        <v>5</v>
      </c>
      <c r="AC82" s="33">
        <f>VLOOKUP(AB82,'Kriter Ağırlık'!$A$12:$C$17,3,0)</f>
        <v>18.5</v>
      </c>
      <c r="AD82" s="1">
        <v>3</v>
      </c>
      <c r="AE82" s="33">
        <f>VLOOKUP(AD82,'Kriter Ağırlık'!$E$12:$G$24,3,0)</f>
        <v>1.1499999999999999</v>
      </c>
      <c r="AF82" s="92">
        <f t="shared" si="9"/>
        <v>1659.4499999999998</v>
      </c>
      <c r="AG82" t="str">
        <f>VLOOKUP(A82,'Çalışan Listesi'!A:G,6,0)</f>
        <v>OPERATÖR</v>
      </c>
    </row>
    <row r="83" spans="1:33" x14ac:dyDescent="0.2">
      <c r="A83" s="2">
        <v>2233</v>
      </c>
      <c r="B83" s="3" t="s">
        <v>116</v>
      </c>
      <c r="C83" s="4">
        <v>40513</v>
      </c>
      <c r="D83" s="5">
        <f t="shared" si="10"/>
        <v>90</v>
      </c>
      <c r="E83" s="6">
        <f t="shared" si="7"/>
        <v>1</v>
      </c>
      <c r="F83" s="25" t="s">
        <v>430</v>
      </c>
      <c r="G83" s="3" t="s">
        <v>76</v>
      </c>
      <c r="H83" s="106" t="str">
        <f>VLOOKUP(A83,'Çalışan Listesi'!A:G,7,0)</f>
        <v>3.KADEME</v>
      </c>
      <c r="I83" s="65">
        <f>IFERROR(VLOOKUP(A83,'Kaizen Listesi'!A:H,8,0),0)</f>
        <v>0</v>
      </c>
      <c r="J83" s="65">
        <f>I83*VLOOKUP($I$2,'Kriter Ağırlık'!$A$1:$B$8,2,0)</f>
        <v>0</v>
      </c>
      <c r="K83" s="65">
        <f>IFERROR(VLOOKUP(A83,'Hata Kartı '!A:H,8,0),0)</f>
        <v>0</v>
      </c>
      <c r="L83" s="65">
        <f>K83*(VLOOKUP($K$2,'Kriter Ağırlık'!$A$1:$B$8,2,0))</f>
        <v>0</v>
      </c>
      <c r="M83" s="65">
        <f>IFERROR(VLOOKUP(F83,'5S'!$B$8:$E$19,4,0),0)</f>
        <v>1</v>
      </c>
      <c r="N83" s="65">
        <f>VLOOKUP(M83,'5S'!$G$8:$I$14,3,1)*VLOOKUP($M$2,'Kriter Ağırlık'!$A$1:$B$8,2,0)*E83*X83</f>
        <v>8</v>
      </c>
      <c r="O83" s="1">
        <f>IFERROR(VLOOKUP(A83,Devamsızlıklar!A:K,10,0),0)</f>
        <v>0</v>
      </c>
      <c r="P83" s="40">
        <f>VLOOKUP(O83,Aralıklar!$A$2:$C$5,3,1)*VLOOKUP($O$2,'Kriter Ağırlık'!$A$1:$B$8,2,0)*E83*X83</f>
        <v>10</v>
      </c>
      <c r="Q83" s="1">
        <f>IFERROR(VLOOKUP(A83,Devamsızlıklar!A:K,8,0),0)</f>
        <v>0</v>
      </c>
      <c r="R83" s="33">
        <f>VLOOKUP(Q83,Aralıklar!$E$2:$G$5,3,1)</f>
        <v>1</v>
      </c>
      <c r="S83" s="33">
        <f>IFERROR(VLOOKUP(A83,Devamsızlıklar!A:K,9,0),0)</f>
        <v>0</v>
      </c>
      <c r="T83" s="33">
        <f>VLOOKUP(S83,Aralıklar!$I$2:$K$6,3,1)</f>
        <v>50</v>
      </c>
      <c r="U83" s="33">
        <f>IFERROR(VLOOKUP(A83,Devamsızlıklar!A:K,11,0),0)</f>
        <v>0</v>
      </c>
      <c r="V83" s="33">
        <f>VLOOKUP(U83,Aralıklar!$M$2:$O$6,3,1)</f>
        <v>50</v>
      </c>
      <c r="W83" s="40">
        <f>IF(X83=0,0,(T83+V83)*R83*VLOOKUP($W$2,'Kriter Ağırlık'!$A$1:$B$8,2,1)*E83)</f>
        <v>10</v>
      </c>
      <c r="X83" s="40">
        <f>IFERROR(VLOOKUP(A83,Devamsızlıklar!A:M,13,0),1)</f>
        <v>1</v>
      </c>
      <c r="Y83" s="40">
        <f>(OEE!$K$6*VLOOKUP($Y$2,'Kriter Ağırlık'!$A$1:$B$8,2,1))*X83*E83</f>
        <v>35</v>
      </c>
      <c r="Z83" s="40">
        <f>(TELEF!$I$10*VLOOKUP($Z$2,'Kriter Ağırlık'!$A$1:$B$8,2,1))*X83*E83</f>
        <v>15</v>
      </c>
      <c r="AA83" s="40">
        <f t="shared" si="8"/>
        <v>78</v>
      </c>
      <c r="AB83" s="1">
        <v>5</v>
      </c>
      <c r="AC83" s="33">
        <f>VLOOKUP(AB83,'Kriter Ağırlık'!$A$12:$C$17,3,0)</f>
        <v>18.5</v>
      </c>
      <c r="AD83" s="1">
        <v>3</v>
      </c>
      <c r="AE83" s="33">
        <f>VLOOKUP(AD83,'Kriter Ağırlık'!$E$12:$G$24,3,0)</f>
        <v>1.1499999999999999</v>
      </c>
      <c r="AF83" s="92">
        <f t="shared" si="9"/>
        <v>1659.4499999999998</v>
      </c>
      <c r="AG83" t="str">
        <f>VLOOKUP(A83,'Çalışan Listesi'!A:G,6,0)</f>
        <v>OPERATÖR</v>
      </c>
    </row>
    <row r="84" spans="1:33" x14ac:dyDescent="0.2">
      <c r="A84" s="2">
        <v>2280</v>
      </c>
      <c r="B84" s="3" t="s">
        <v>117</v>
      </c>
      <c r="C84" s="4">
        <v>40575</v>
      </c>
      <c r="D84" s="5">
        <f t="shared" si="10"/>
        <v>90</v>
      </c>
      <c r="E84" s="6">
        <f t="shared" si="7"/>
        <v>1</v>
      </c>
      <c r="F84" s="25" t="s">
        <v>421</v>
      </c>
      <c r="G84" s="3" t="s">
        <v>10</v>
      </c>
      <c r="H84" s="106" t="str">
        <f>VLOOKUP(A84,'Çalışan Listesi'!A:G,7,0)</f>
        <v>3.KADEME</v>
      </c>
      <c r="I84" s="65">
        <f>IFERROR(VLOOKUP(A84,'Kaizen Listesi'!A:H,8,0),0)</f>
        <v>33.333333333333336</v>
      </c>
      <c r="J84" s="65">
        <f>I84*VLOOKUP($I$2,'Kriter Ağırlık'!$A$1:$B$8,2,0)</f>
        <v>4</v>
      </c>
      <c r="K84" s="65">
        <f>IFERROR(VLOOKUP(A84,'Hata Kartı '!A:H,8,0),0)</f>
        <v>16.666666666666668</v>
      </c>
      <c r="L84" s="65">
        <f>K84*(VLOOKUP($K$2,'Kriter Ağırlık'!$A$1:$B$8,2,0))</f>
        <v>1.666666666666667</v>
      </c>
      <c r="M84" s="65">
        <f>IFERROR(VLOOKUP(F84,'5S'!$B$8:$E$19,4,0),0)</f>
        <v>1</v>
      </c>
      <c r="N84" s="65">
        <f>VLOOKUP(M84,'5S'!$G$8:$I$14,3,1)*VLOOKUP($M$2,'Kriter Ağırlık'!$A$1:$B$8,2,0)*E84*X84</f>
        <v>7.7333333333333334</v>
      </c>
      <c r="O84" s="1">
        <f>IFERROR(VLOOKUP(A84,Devamsızlıklar!A:K,10,0),0)</f>
        <v>0</v>
      </c>
      <c r="P84" s="40">
        <f>VLOOKUP(O84,Aralıklar!$A$2:$C$5,3,1)*VLOOKUP($O$2,'Kriter Ağırlık'!$A$1:$B$8,2,0)*E84*X84</f>
        <v>9.6666666666666661</v>
      </c>
      <c r="Q84" s="1">
        <f>IFERROR(VLOOKUP(A84,Devamsızlıklar!A:K,8,0),0)</f>
        <v>0</v>
      </c>
      <c r="R84" s="33">
        <f>VLOOKUP(Q84,Aralıklar!$E$2:$G$5,3,1)</f>
        <v>1</v>
      </c>
      <c r="S84" s="33">
        <f>IFERROR(VLOOKUP(A84,Devamsızlıklar!A:K,9,0),0)</f>
        <v>3</v>
      </c>
      <c r="T84" s="33">
        <f>VLOOKUP(S84,Aralıklar!$I$2:$K$6,3,1)</f>
        <v>50</v>
      </c>
      <c r="U84" s="33">
        <f>IFERROR(VLOOKUP(A84,Devamsızlıklar!A:K,11,0),0)</f>
        <v>0</v>
      </c>
      <c r="V84" s="33">
        <f>VLOOKUP(U84,Aralıklar!$M$2:$O$6,3,1)</f>
        <v>50</v>
      </c>
      <c r="W84" s="40">
        <f>IF(X84=0,0,(T84+V84)*R84*VLOOKUP($W$2,'Kriter Ağırlık'!$A$1:$B$8,2,1)*E84)</f>
        <v>10</v>
      </c>
      <c r="X84" s="40">
        <f>IFERROR(VLOOKUP(A84,Devamsızlıklar!A:M,13,0),1)</f>
        <v>0.96666666666666667</v>
      </c>
      <c r="Y84" s="40">
        <f>(OEE!$K$6*VLOOKUP($Y$2,'Kriter Ağırlık'!$A$1:$B$8,2,1))*X84*E84</f>
        <v>33.833333333333336</v>
      </c>
      <c r="Z84" s="40">
        <f>(TELEF!$I$10*VLOOKUP($Z$2,'Kriter Ağırlık'!$A$1:$B$8,2,1))*X84*E84</f>
        <v>14.5</v>
      </c>
      <c r="AA84" s="40">
        <f t="shared" si="8"/>
        <v>81.400000000000006</v>
      </c>
      <c r="AB84" s="1">
        <v>5</v>
      </c>
      <c r="AC84" s="33">
        <f>VLOOKUP(AB84,'Kriter Ağırlık'!$A$12:$C$17,3,0)</f>
        <v>18.5</v>
      </c>
      <c r="AD84" s="1">
        <v>3</v>
      </c>
      <c r="AE84" s="33">
        <f>VLOOKUP(AD84,'Kriter Ağırlık'!$E$12:$G$24,3,0)</f>
        <v>1.1499999999999999</v>
      </c>
      <c r="AF84" s="92">
        <f t="shared" si="9"/>
        <v>1731.7850000000001</v>
      </c>
      <c r="AG84" t="str">
        <f>VLOOKUP(A84,'Çalışan Listesi'!A:G,6,0)</f>
        <v>OPERATÖR</v>
      </c>
    </row>
    <row r="85" spans="1:33" x14ac:dyDescent="0.2">
      <c r="A85" s="2">
        <v>2304</v>
      </c>
      <c r="B85" s="3" t="s">
        <v>118</v>
      </c>
      <c r="C85" s="4">
        <v>40611</v>
      </c>
      <c r="D85" s="5">
        <f t="shared" si="10"/>
        <v>90</v>
      </c>
      <c r="E85" s="6">
        <f t="shared" si="7"/>
        <v>1</v>
      </c>
      <c r="F85" s="25" t="s">
        <v>421</v>
      </c>
      <c r="G85" s="3" t="s">
        <v>61</v>
      </c>
      <c r="H85" s="106" t="str">
        <f>VLOOKUP(A85,'Çalışan Listesi'!A:G,7,0)</f>
        <v>3.KADEME</v>
      </c>
      <c r="I85" s="65">
        <f>IFERROR(VLOOKUP(A85,'Kaizen Listesi'!A:H,8,0),0)</f>
        <v>0</v>
      </c>
      <c r="J85" s="65">
        <f>I85*VLOOKUP($I$2,'Kriter Ağırlık'!$A$1:$B$8,2,0)</f>
        <v>0</v>
      </c>
      <c r="K85" s="65">
        <f>IFERROR(VLOOKUP(A85,'Hata Kartı '!A:H,8,0),0)</f>
        <v>0</v>
      </c>
      <c r="L85" s="65">
        <f>K85*(VLOOKUP($K$2,'Kriter Ağırlık'!$A$1:$B$8,2,0))</f>
        <v>0</v>
      </c>
      <c r="M85" s="65">
        <f>IFERROR(VLOOKUP(F85,'5S'!$B$8:$E$19,4,0),0)</f>
        <v>1</v>
      </c>
      <c r="N85" s="65">
        <f>VLOOKUP(M85,'5S'!$G$8:$I$14,3,1)*VLOOKUP($M$2,'Kriter Ağırlık'!$A$1:$B$8,2,0)*E85*X85</f>
        <v>8</v>
      </c>
      <c r="O85" s="1">
        <f>IFERROR(VLOOKUP(A85,Devamsızlıklar!A:K,10,0),0)</f>
        <v>0</v>
      </c>
      <c r="P85" s="40">
        <f>VLOOKUP(O85,Aralıklar!$A$2:$C$5,3,1)*VLOOKUP($O$2,'Kriter Ağırlık'!$A$1:$B$8,2,0)*E85*X85</f>
        <v>10</v>
      </c>
      <c r="Q85" s="1">
        <f>IFERROR(VLOOKUP(A85,Devamsızlıklar!A:K,8,0),0)</f>
        <v>0</v>
      </c>
      <c r="R85" s="33">
        <f>VLOOKUP(Q85,Aralıklar!$E$2:$G$5,3,1)</f>
        <v>1</v>
      </c>
      <c r="S85" s="33">
        <f>IFERROR(VLOOKUP(A85,Devamsızlıklar!A:K,9,0),0)</f>
        <v>0</v>
      </c>
      <c r="T85" s="33">
        <f>VLOOKUP(S85,Aralıklar!$I$2:$K$6,3,1)</f>
        <v>50</v>
      </c>
      <c r="U85" s="33">
        <f>IFERROR(VLOOKUP(A85,Devamsızlıklar!A:K,11,0),0)</f>
        <v>0</v>
      </c>
      <c r="V85" s="33">
        <f>VLOOKUP(U85,Aralıklar!$M$2:$O$6,3,1)</f>
        <v>50</v>
      </c>
      <c r="W85" s="40">
        <f>IF(X85=0,0,(T85+V85)*R85*VLOOKUP($W$2,'Kriter Ağırlık'!$A$1:$B$8,2,1)*E85)</f>
        <v>10</v>
      </c>
      <c r="X85" s="40">
        <f>IFERROR(VLOOKUP(A85,Devamsızlıklar!A:M,13,0),1)</f>
        <v>1</v>
      </c>
      <c r="Y85" s="40">
        <f>(OEE!$K$6*VLOOKUP($Y$2,'Kriter Ağırlık'!$A$1:$B$8,2,1))*X85*E85</f>
        <v>35</v>
      </c>
      <c r="Z85" s="40">
        <f>(TELEF!$I$10*VLOOKUP($Z$2,'Kriter Ağırlık'!$A$1:$B$8,2,1))*X85*E85</f>
        <v>15</v>
      </c>
      <c r="AA85" s="40">
        <f t="shared" si="8"/>
        <v>78</v>
      </c>
      <c r="AB85" s="1">
        <v>5</v>
      </c>
      <c r="AC85" s="33">
        <f>VLOOKUP(AB85,'Kriter Ağırlık'!$A$12:$C$17,3,0)</f>
        <v>18.5</v>
      </c>
      <c r="AD85" s="1">
        <v>3</v>
      </c>
      <c r="AE85" s="33">
        <f>VLOOKUP(AD85,'Kriter Ağırlık'!$E$12:$G$24,3,0)</f>
        <v>1.1499999999999999</v>
      </c>
      <c r="AF85" s="92">
        <f t="shared" si="9"/>
        <v>1659.4499999999998</v>
      </c>
      <c r="AG85" t="str">
        <f>VLOOKUP(A85,'Çalışan Listesi'!A:G,6,0)</f>
        <v>OPERATÖR</v>
      </c>
    </row>
    <row r="86" spans="1:33" x14ac:dyDescent="0.2">
      <c r="A86" s="2">
        <v>2345</v>
      </c>
      <c r="B86" s="3" t="s">
        <v>119</v>
      </c>
      <c r="C86" s="4">
        <v>40665</v>
      </c>
      <c r="D86" s="5">
        <f t="shared" si="10"/>
        <v>90</v>
      </c>
      <c r="E86" s="6">
        <f t="shared" si="7"/>
        <v>1</v>
      </c>
      <c r="F86" s="25" t="s">
        <v>434</v>
      </c>
      <c r="G86" s="3" t="s">
        <v>56</v>
      </c>
      <c r="H86" s="106" t="str">
        <f>VLOOKUP(A86,'Çalışan Listesi'!A:G,7,0)</f>
        <v>SÜPERVİZÖR</v>
      </c>
      <c r="I86" s="65">
        <f>IFERROR(VLOOKUP(A86,'Kaizen Listesi'!A:H,8,0),0)</f>
        <v>0</v>
      </c>
      <c r="J86" s="65">
        <f>I86*VLOOKUP($I$2,'Kriter Ağırlık'!$A$1:$B$8,2,0)</f>
        <v>0</v>
      </c>
      <c r="K86" s="65">
        <f>IFERROR(VLOOKUP(A86,'Hata Kartı '!A:H,8,0),0)</f>
        <v>0</v>
      </c>
      <c r="L86" s="65">
        <f>K86*(VLOOKUP($K$2,'Kriter Ağırlık'!$A$1:$B$8,2,0))</f>
        <v>0</v>
      </c>
      <c r="M86" s="65">
        <f>IFERROR(VLOOKUP(F86,'5S'!$B$8:$E$19,4,0),0)</f>
        <v>0</v>
      </c>
      <c r="N86" s="65">
        <f>VLOOKUP(M86,'5S'!$G$8:$I$14,3,1)*VLOOKUP($M$2,'Kriter Ağırlık'!$A$1:$B$8,2,0)*E86*X86</f>
        <v>0</v>
      </c>
      <c r="O86" s="1">
        <f>IFERROR(VLOOKUP(A86,Devamsızlıklar!A:K,10,0),0)</f>
        <v>0</v>
      </c>
      <c r="P86" s="40">
        <f>VLOOKUP(O86,Aralıklar!$A$2:$C$5,3,1)*VLOOKUP($O$2,'Kriter Ağırlık'!$A$1:$B$8,2,0)*E86*X86</f>
        <v>10</v>
      </c>
      <c r="Q86" s="1">
        <f>IFERROR(VLOOKUP(A86,Devamsızlıklar!A:K,8,0),0)</f>
        <v>0</v>
      </c>
      <c r="R86" s="33">
        <f>VLOOKUP(Q86,Aralıklar!$E$2:$G$5,3,1)</f>
        <v>1</v>
      </c>
      <c r="S86" s="33">
        <f>IFERROR(VLOOKUP(A86,Devamsızlıklar!A:K,9,0),0)</f>
        <v>0</v>
      </c>
      <c r="T86" s="33">
        <f>VLOOKUP(S86,Aralıklar!$I$2:$K$6,3,1)</f>
        <v>50</v>
      </c>
      <c r="U86" s="33">
        <f>IFERROR(VLOOKUP(A86,Devamsızlıklar!A:K,11,0),0)</f>
        <v>0</v>
      </c>
      <c r="V86" s="33">
        <f>VLOOKUP(U86,Aralıklar!$M$2:$O$6,3,1)</f>
        <v>50</v>
      </c>
      <c r="W86" s="40">
        <f>IF(X86=0,0,(T86+V86)*R86*VLOOKUP($W$2,'Kriter Ağırlık'!$A$1:$B$8,2,1)*E86)</f>
        <v>10</v>
      </c>
      <c r="X86" s="40">
        <f>IFERROR(VLOOKUP(A86,Devamsızlıklar!A:M,13,0),1)</f>
        <v>1</v>
      </c>
      <c r="Y86" s="40">
        <f>(OEE!$K$6*VLOOKUP($Y$2,'Kriter Ağırlık'!$A$1:$B$8,2,1))*X86*E86</f>
        <v>35</v>
      </c>
      <c r="Z86" s="40">
        <f>(TELEF!$I$10*VLOOKUP($Z$2,'Kriter Ağırlık'!$A$1:$B$8,2,1))*X86*E86</f>
        <v>15</v>
      </c>
      <c r="AA86" s="40">
        <f t="shared" si="8"/>
        <v>70</v>
      </c>
      <c r="AB86" s="1">
        <v>2</v>
      </c>
      <c r="AC86" s="33">
        <f>VLOOKUP(AB86,'Kriter Ağırlık'!$A$12:$C$17,3,0)</f>
        <v>0</v>
      </c>
      <c r="AD86" s="75">
        <v>1</v>
      </c>
      <c r="AE86" s="33">
        <f>VLOOKUP(AD86,'Kriter Ağırlık'!$E$12:$G$24,3,0)</f>
        <v>1</v>
      </c>
      <c r="AF86" s="92">
        <f t="shared" si="9"/>
        <v>0</v>
      </c>
      <c r="AG86" t="str">
        <f>VLOOKUP(A86,'Çalışan Listesi'!A:G,6,0)</f>
        <v>GRUP LİDERİ</v>
      </c>
    </row>
    <row r="87" spans="1:33" x14ac:dyDescent="0.2">
      <c r="A87" s="2">
        <v>2376</v>
      </c>
      <c r="B87" s="3" t="s">
        <v>120</v>
      </c>
      <c r="C87" s="4">
        <v>40700</v>
      </c>
      <c r="D87" s="5">
        <f t="shared" si="10"/>
        <v>90</v>
      </c>
      <c r="E87" s="6">
        <f t="shared" si="7"/>
        <v>1</v>
      </c>
      <c r="F87" s="25" t="s">
        <v>421</v>
      </c>
      <c r="G87" s="3" t="s">
        <v>10</v>
      </c>
      <c r="H87" s="106" t="str">
        <f>VLOOKUP(A87,'Çalışan Listesi'!A:G,7,0)</f>
        <v>3.KADEME</v>
      </c>
      <c r="I87" s="65">
        <f>IFERROR(VLOOKUP(A87,'Kaizen Listesi'!A:H,8,0),0)</f>
        <v>0</v>
      </c>
      <c r="J87" s="65">
        <f>I87*VLOOKUP($I$2,'Kriter Ağırlık'!$A$1:$B$8,2,0)</f>
        <v>0</v>
      </c>
      <c r="K87" s="65">
        <f>IFERROR(VLOOKUP(A87,'Hata Kartı '!A:H,8,0),0)</f>
        <v>0</v>
      </c>
      <c r="L87" s="65">
        <f>K87*(VLOOKUP($K$2,'Kriter Ağırlık'!$A$1:$B$8,2,0))</f>
        <v>0</v>
      </c>
      <c r="M87" s="65">
        <f>IFERROR(VLOOKUP(F87,'5S'!$B$8:$E$19,4,0),0)</f>
        <v>1</v>
      </c>
      <c r="N87" s="65">
        <f>VLOOKUP(M87,'5S'!$G$8:$I$14,3,1)*VLOOKUP($M$2,'Kriter Ağırlık'!$A$1:$B$8,2,0)*E87*X87</f>
        <v>7.3777777777777782</v>
      </c>
      <c r="O87" s="1">
        <f>IFERROR(VLOOKUP(A87,Devamsızlıklar!A:K,10,0),0)</f>
        <v>0</v>
      </c>
      <c r="P87" s="40">
        <f>VLOOKUP(O87,Aralıklar!$A$2:$C$5,3,1)*VLOOKUP($O$2,'Kriter Ağırlık'!$A$1:$B$8,2,0)*E87*X87</f>
        <v>9.2222222222222232</v>
      </c>
      <c r="Q87" s="1">
        <f>IFERROR(VLOOKUP(A87,Devamsızlıklar!A:K,8,0),0)</f>
        <v>0</v>
      </c>
      <c r="R87" s="33">
        <f>VLOOKUP(Q87,Aralıklar!$E$2:$G$5,3,1)</f>
        <v>1</v>
      </c>
      <c r="S87" s="33">
        <f>IFERROR(VLOOKUP(A87,Devamsızlıklar!A:K,9,0),0)</f>
        <v>0</v>
      </c>
      <c r="T87" s="33">
        <f>VLOOKUP(S87,Aralıklar!$I$2:$K$6,3,1)</f>
        <v>50</v>
      </c>
      <c r="U87" s="33">
        <f>IFERROR(VLOOKUP(A87,Devamsızlıklar!A:K,11,0),0)</f>
        <v>0</v>
      </c>
      <c r="V87" s="33">
        <f>VLOOKUP(U87,Aralıklar!$M$2:$O$6,3,1)</f>
        <v>50</v>
      </c>
      <c r="W87" s="40">
        <f>IF(X87=0,0,(T87+V87)*R87*VLOOKUP($W$2,'Kriter Ağırlık'!$A$1:$B$8,2,1)*E87)</f>
        <v>10</v>
      </c>
      <c r="X87" s="40">
        <f>IFERROR(VLOOKUP(A87,Devamsızlıklar!A:M,13,0),1)</f>
        <v>0.92222222222222228</v>
      </c>
      <c r="Y87" s="40">
        <f>(OEE!$K$6*VLOOKUP($Y$2,'Kriter Ağırlık'!$A$1:$B$8,2,1))*X87*E87</f>
        <v>32.277777777777779</v>
      </c>
      <c r="Z87" s="40">
        <f>(TELEF!$I$10*VLOOKUP($Z$2,'Kriter Ağırlık'!$A$1:$B$8,2,1))*X87*E87</f>
        <v>13.833333333333334</v>
      </c>
      <c r="AA87" s="40">
        <f t="shared" si="8"/>
        <v>72.711111111111109</v>
      </c>
      <c r="AB87" s="1">
        <v>5</v>
      </c>
      <c r="AC87" s="33">
        <f>VLOOKUP(AB87,'Kriter Ağırlık'!$A$12:$C$17,3,0)</f>
        <v>18.5</v>
      </c>
      <c r="AD87" s="1">
        <v>3</v>
      </c>
      <c r="AE87" s="33">
        <f>VLOOKUP(AD87,'Kriter Ağırlık'!$E$12:$G$24,3,0)</f>
        <v>1.1499999999999999</v>
      </c>
      <c r="AF87" s="92">
        <f t="shared" si="9"/>
        <v>1546.9288888888889</v>
      </c>
      <c r="AG87" t="str">
        <f>VLOOKUP(A87,'Çalışan Listesi'!A:G,6,0)</f>
        <v>OPERATÖR</v>
      </c>
    </row>
    <row r="88" spans="1:33" x14ac:dyDescent="0.2">
      <c r="A88" s="2">
        <v>2437</v>
      </c>
      <c r="B88" s="3" t="s">
        <v>121</v>
      </c>
      <c r="C88" s="4">
        <v>40735</v>
      </c>
      <c r="D88" s="5">
        <f t="shared" si="10"/>
        <v>90</v>
      </c>
      <c r="E88" s="6">
        <f t="shared" si="7"/>
        <v>1</v>
      </c>
      <c r="F88" s="25" t="s">
        <v>422</v>
      </c>
      <c r="G88" s="3" t="s">
        <v>122</v>
      </c>
      <c r="H88" s="106" t="str">
        <f>VLOOKUP(A88,'Çalışan Listesi'!A:G,7,0)</f>
        <v>4.KADEME</v>
      </c>
      <c r="I88" s="65">
        <f>IFERROR(VLOOKUP(A88,'Kaizen Listesi'!A:H,8,0),0)</f>
        <v>0</v>
      </c>
      <c r="J88" s="65">
        <f>I88*VLOOKUP($I$2,'Kriter Ağırlık'!$A$1:$B$8,2,0)</f>
        <v>0</v>
      </c>
      <c r="K88" s="65">
        <f>IFERROR(VLOOKUP(A88,'Hata Kartı '!A:H,8,0),0)</f>
        <v>50</v>
      </c>
      <c r="L88" s="65">
        <f>K88*(VLOOKUP($K$2,'Kriter Ağırlık'!$A$1:$B$8,2,0))</f>
        <v>5</v>
      </c>
      <c r="M88" s="65">
        <f>IFERROR(VLOOKUP(F88,'5S'!$B$8:$E$19,4,0),0)</f>
        <v>1</v>
      </c>
      <c r="N88" s="65">
        <f>VLOOKUP(M88,'5S'!$G$8:$I$14,3,1)*VLOOKUP($M$2,'Kriter Ağırlık'!$A$1:$B$8,2,0)*E88*X88</f>
        <v>8</v>
      </c>
      <c r="O88" s="1">
        <f>IFERROR(VLOOKUP(A88,Devamsızlıklar!A:K,10,0),0)</f>
        <v>0</v>
      </c>
      <c r="P88" s="40">
        <f>VLOOKUP(O88,Aralıklar!$A$2:$C$5,3,1)*VLOOKUP($O$2,'Kriter Ağırlık'!$A$1:$B$8,2,0)*E88*X88</f>
        <v>10</v>
      </c>
      <c r="Q88" s="1">
        <f>IFERROR(VLOOKUP(A88,Devamsızlıklar!A:K,8,0),0)</f>
        <v>0</v>
      </c>
      <c r="R88" s="33">
        <f>VLOOKUP(Q88,Aralıklar!$E$2:$G$5,3,1)</f>
        <v>1</v>
      </c>
      <c r="S88" s="33">
        <f>IFERROR(VLOOKUP(A88,Devamsızlıklar!A:K,9,0),0)</f>
        <v>0</v>
      </c>
      <c r="T88" s="33">
        <f>VLOOKUP(S88,Aralıklar!$I$2:$K$6,3,1)</f>
        <v>50</v>
      </c>
      <c r="U88" s="33">
        <f>IFERROR(VLOOKUP(A88,Devamsızlıklar!A:K,11,0),0)</f>
        <v>0</v>
      </c>
      <c r="V88" s="33">
        <f>VLOOKUP(U88,Aralıklar!$M$2:$O$6,3,1)</f>
        <v>50</v>
      </c>
      <c r="W88" s="40">
        <f>IF(X88=0,0,(T88+V88)*R88*VLOOKUP($W$2,'Kriter Ağırlık'!$A$1:$B$8,2,1)*E88)</f>
        <v>10</v>
      </c>
      <c r="X88" s="40">
        <f>IFERROR(VLOOKUP(A88,Devamsızlıklar!A:M,13,0),1)</f>
        <v>1</v>
      </c>
      <c r="Y88" s="40">
        <f>(OEE!$K$6*VLOOKUP($Y$2,'Kriter Ağırlık'!$A$1:$B$8,2,1))*X88*E88</f>
        <v>35</v>
      </c>
      <c r="Z88" s="40">
        <f>(TELEF!$I$10*VLOOKUP($Z$2,'Kriter Ağırlık'!$A$1:$B$8,2,1))*X88*E88</f>
        <v>15</v>
      </c>
      <c r="AA88" s="40">
        <f t="shared" si="8"/>
        <v>83</v>
      </c>
      <c r="AB88" s="1">
        <v>4</v>
      </c>
      <c r="AC88" s="33">
        <f>VLOOKUP(AB88,'Kriter Ağırlık'!$A$12:$C$17,3,0)</f>
        <v>13.5</v>
      </c>
      <c r="AD88" s="1">
        <v>1</v>
      </c>
      <c r="AE88" s="33">
        <f>VLOOKUP(AD88,'Kriter Ağırlık'!$E$12:$G$24,3,0)</f>
        <v>1</v>
      </c>
      <c r="AF88" s="92">
        <f t="shared" si="9"/>
        <v>1120.5</v>
      </c>
      <c r="AG88" t="str">
        <f>VLOOKUP(A88,'Çalışan Listesi'!A:G,6,0)</f>
        <v>TAKIM LİDERİ YARDIMCISI</v>
      </c>
    </row>
    <row r="89" spans="1:33" x14ac:dyDescent="0.2">
      <c r="A89" s="2">
        <v>2462</v>
      </c>
      <c r="B89" s="3" t="s">
        <v>123</v>
      </c>
      <c r="C89" s="4">
        <v>40742</v>
      </c>
      <c r="D89" s="5">
        <f t="shared" si="10"/>
        <v>90</v>
      </c>
      <c r="E89" s="6">
        <f t="shared" si="7"/>
        <v>1</v>
      </c>
      <c r="F89" s="25" t="s">
        <v>421</v>
      </c>
      <c r="G89" s="3" t="s">
        <v>86</v>
      </c>
      <c r="H89" s="106" t="str">
        <f>VLOOKUP(A89,'Çalışan Listesi'!A:G,7,0)</f>
        <v>3.KADEME</v>
      </c>
      <c r="I89" s="65">
        <f>IFERROR(VLOOKUP(A89,'Kaizen Listesi'!A:H,8,0),0)</f>
        <v>0</v>
      </c>
      <c r="J89" s="65">
        <f>I89*VLOOKUP($I$2,'Kriter Ağırlık'!$A$1:$B$8,2,0)</f>
        <v>0</v>
      </c>
      <c r="K89" s="65">
        <f>IFERROR(VLOOKUP(A89,'Hata Kartı '!A:H,8,0),0)</f>
        <v>66.666666666666671</v>
      </c>
      <c r="L89" s="65">
        <f>K89*(VLOOKUP($K$2,'Kriter Ağırlık'!$A$1:$B$8,2,0))</f>
        <v>6.6666666666666679</v>
      </c>
      <c r="M89" s="65">
        <f>IFERROR(VLOOKUP(F89,'5S'!$B$8:$E$19,4,0),0)</f>
        <v>1</v>
      </c>
      <c r="N89" s="65">
        <f>VLOOKUP(M89,'5S'!$G$8:$I$14,3,1)*VLOOKUP($M$2,'Kriter Ağırlık'!$A$1:$B$8,2,0)*E89*X89</f>
        <v>7.3777777777777782</v>
      </c>
      <c r="O89" s="1">
        <f>IFERROR(VLOOKUP(A89,Devamsızlıklar!A:K,10,0),0)</f>
        <v>0</v>
      </c>
      <c r="P89" s="40">
        <f>VLOOKUP(O89,Aralıklar!$A$2:$C$5,3,1)*VLOOKUP($O$2,'Kriter Ağırlık'!$A$1:$B$8,2,0)*E89*X89</f>
        <v>9.2222222222222232</v>
      </c>
      <c r="Q89" s="1">
        <f>IFERROR(VLOOKUP(A89,Devamsızlıklar!A:K,8,0),0)</f>
        <v>0</v>
      </c>
      <c r="R89" s="33">
        <f>VLOOKUP(Q89,Aralıklar!$E$2:$G$5,3,1)</f>
        <v>1</v>
      </c>
      <c r="S89" s="33">
        <f>IFERROR(VLOOKUP(A89,Devamsızlıklar!A:K,9,0),0)</f>
        <v>0</v>
      </c>
      <c r="T89" s="33">
        <f>VLOOKUP(S89,Aralıklar!$I$2:$K$6,3,1)</f>
        <v>50</v>
      </c>
      <c r="U89" s="33">
        <f>IFERROR(VLOOKUP(A89,Devamsızlıklar!A:K,11,0),0)</f>
        <v>0</v>
      </c>
      <c r="V89" s="33">
        <f>VLOOKUP(U89,Aralıklar!$M$2:$O$6,3,1)</f>
        <v>50</v>
      </c>
      <c r="W89" s="40">
        <f>IF(X89=0,0,(T89+V89)*R89*VLOOKUP($W$2,'Kriter Ağırlık'!$A$1:$B$8,2,1)*E89)</f>
        <v>10</v>
      </c>
      <c r="X89" s="40">
        <f>IFERROR(VLOOKUP(A89,Devamsızlıklar!A:M,13,0),1)</f>
        <v>0.92222222222222228</v>
      </c>
      <c r="Y89" s="40">
        <f>(OEE!$K$6*VLOOKUP($Y$2,'Kriter Ağırlık'!$A$1:$B$8,2,1))*X89*E89</f>
        <v>32.277777777777779</v>
      </c>
      <c r="Z89" s="40">
        <f>(TELEF!$I$10*VLOOKUP($Z$2,'Kriter Ağırlık'!$A$1:$B$8,2,1))*X89*E89</f>
        <v>13.833333333333334</v>
      </c>
      <c r="AA89" s="40">
        <f t="shared" si="8"/>
        <v>79.37777777777778</v>
      </c>
      <c r="AB89" s="1">
        <v>5</v>
      </c>
      <c r="AC89" s="33">
        <f>VLOOKUP(AB89,'Kriter Ağırlık'!$A$12:$C$17,3,0)</f>
        <v>18.5</v>
      </c>
      <c r="AD89" s="1">
        <v>3</v>
      </c>
      <c r="AE89" s="33">
        <f>VLOOKUP(AD89,'Kriter Ağırlık'!$E$12:$G$24,3,0)</f>
        <v>1.1499999999999999</v>
      </c>
      <c r="AF89" s="92">
        <f t="shared" si="9"/>
        <v>1688.7622222222219</v>
      </c>
      <c r="AG89" t="str">
        <f>VLOOKUP(A89,'Çalışan Listesi'!A:G,6,0)</f>
        <v>OPERATÖR</v>
      </c>
    </row>
    <row r="90" spans="1:33" x14ac:dyDescent="0.2">
      <c r="A90" s="2">
        <v>2542</v>
      </c>
      <c r="B90" s="3" t="s">
        <v>124</v>
      </c>
      <c r="C90" s="4">
        <v>40791</v>
      </c>
      <c r="D90" s="5">
        <f t="shared" si="10"/>
        <v>90</v>
      </c>
      <c r="E90" s="6">
        <f t="shared" si="7"/>
        <v>1</v>
      </c>
      <c r="F90" s="25" t="s">
        <v>431</v>
      </c>
      <c r="G90" s="3" t="s">
        <v>125</v>
      </c>
      <c r="H90" s="106" t="str">
        <f>VLOOKUP(A90,'Çalışan Listesi'!A:G,7,0)</f>
        <v>3.KADEME</v>
      </c>
      <c r="I90" s="65">
        <f>IFERROR(VLOOKUP(A90,'Kaizen Listesi'!A:H,8,0),0)</f>
        <v>0</v>
      </c>
      <c r="J90" s="65">
        <f>I90*VLOOKUP($I$2,'Kriter Ağırlık'!$A$1:$B$8,2,0)</f>
        <v>0</v>
      </c>
      <c r="K90" s="65">
        <f>IFERROR(VLOOKUP(A90,'Hata Kartı '!A:H,8,0),0)</f>
        <v>0</v>
      </c>
      <c r="L90" s="65">
        <f>K90*(VLOOKUP($K$2,'Kriter Ağırlık'!$A$1:$B$8,2,0))</f>
        <v>0</v>
      </c>
      <c r="M90" s="65">
        <f>IFERROR(VLOOKUP(F90,'5S'!$B$8:$E$19,4,0),0)</f>
        <v>1</v>
      </c>
      <c r="N90" s="65">
        <f>VLOOKUP(M90,'5S'!$G$8:$I$14,3,1)*VLOOKUP($M$2,'Kriter Ağırlık'!$A$1:$B$8,2,0)*E90*X90</f>
        <v>8</v>
      </c>
      <c r="O90" s="1">
        <f>IFERROR(VLOOKUP(A90,Devamsızlıklar!A:K,10,0),0)</f>
        <v>0</v>
      </c>
      <c r="P90" s="40">
        <f>VLOOKUP(O90,Aralıklar!$A$2:$C$5,3,1)*VLOOKUP($O$2,'Kriter Ağırlık'!$A$1:$B$8,2,0)*E90*X90</f>
        <v>10</v>
      </c>
      <c r="Q90" s="1">
        <f>IFERROR(VLOOKUP(A90,Devamsızlıklar!A:K,8,0),0)</f>
        <v>0</v>
      </c>
      <c r="R90" s="33">
        <f>VLOOKUP(Q90,Aralıklar!$E$2:$G$5,3,1)</f>
        <v>1</v>
      </c>
      <c r="S90" s="33">
        <f>IFERROR(VLOOKUP(A90,Devamsızlıklar!A:K,9,0),0)</f>
        <v>0</v>
      </c>
      <c r="T90" s="33">
        <f>VLOOKUP(S90,Aralıklar!$I$2:$K$6,3,1)</f>
        <v>50</v>
      </c>
      <c r="U90" s="33">
        <f>IFERROR(VLOOKUP(A90,Devamsızlıklar!A:K,11,0),0)</f>
        <v>0</v>
      </c>
      <c r="V90" s="33">
        <f>VLOOKUP(U90,Aralıklar!$M$2:$O$6,3,1)</f>
        <v>50</v>
      </c>
      <c r="W90" s="40">
        <f>IF(X90=0,0,(T90+V90)*R90*VLOOKUP($W$2,'Kriter Ağırlık'!$A$1:$B$8,2,1)*E90)</f>
        <v>10</v>
      </c>
      <c r="X90" s="40">
        <f>IFERROR(VLOOKUP(A90,Devamsızlıklar!A:M,13,0),1)</f>
        <v>1</v>
      </c>
      <c r="Y90" s="40">
        <f>(OEE!$K$6*VLOOKUP($Y$2,'Kriter Ağırlık'!$A$1:$B$8,2,1))*X90*E90</f>
        <v>35</v>
      </c>
      <c r="Z90" s="40">
        <f>(TELEF!$I$10*VLOOKUP($Z$2,'Kriter Ağırlık'!$A$1:$B$8,2,1))*X90*E90</f>
        <v>15</v>
      </c>
      <c r="AA90" s="40">
        <f t="shared" si="8"/>
        <v>78</v>
      </c>
      <c r="AB90" s="1">
        <v>5</v>
      </c>
      <c r="AC90" s="33">
        <f>VLOOKUP(AB90,'Kriter Ağırlık'!$A$12:$C$17,3,0)</f>
        <v>18.5</v>
      </c>
      <c r="AD90" s="1">
        <v>3</v>
      </c>
      <c r="AE90" s="33">
        <f>VLOOKUP(AD90,'Kriter Ağırlık'!$E$12:$G$24,3,0)</f>
        <v>1.1499999999999999</v>
      </c>
      <c r="AF90" s="92">
        <f t="shared" si="9"/>
        <v>1659.4499999999998</v>
      </c>
      <c r="AG90" t="str">
        <f>VLOOKUP(A90,'Çalışan Listesi'!A:G,6,0)</f>
        <v>OPERATÖR</v>
      </c>
    </row>
    <row r="91" spans="1:33" x14ac:dyDescent="0.2">
      <c r="A91" s="2">
        <v>2556</v>
      </c>
      <c r="B91" s="3" t="s">
        <v>126</v>
      </c>
      <c r="C91" s="4">
        <v>40805</v>
      </c>
      <c r="D91" s="5">
        <f t="shared" si="10"/>
        <v>90</v>
      </c>
      <c r="E91" s="6">
        <f t="shared" si="7"/>
        <v>1</v>
      </c>
      <c r="F91" s="25" t="s">
        <v>424</v>
      </c>
      <c r="G91" s="3" t="s">
        <v>127</v>
      </c>
      <c r="H91" s="106" t="str">
        <f>VLOOKUP(A91,'Çalışan Listesi'!A:G,7,0)</f>
        <v>4.KADEME</v>
      </c>
      <c r="I91" s="65">
        <f>IFERROR(VLOOKUP(A91,'Kaizen Listesi'!A:H,8,0),0)</f>
        <v>66.666666666666671</v>
      </c>
      <c r="J91" s="65">
        <f>I91*VLOOKUP($I$2,'Kriter Ağırlık'!$A$1:$B$8,2,0)</f>
        <v>8</v>
      </c>
      <c r="K91" s="65">
        <f>IFERROR(VLOOKUP(A91,'Hata Kartı '!A:H,8,0),0)</f>
        <v>100</v>
      </c>
      <c r="L91" s="65">
        <f>K91*(VLOOKUP($K$2,'Kriter Ağırlık'!$A$1:$B$8,2,0))</f>
        <v>10</v>
      </c>
      <c r="M91" s="65">
        <f>IFERROR(VLOOKUP(F91,'5S'!$B$8:$E$19,4,0),0)</f>
        <v>1</v>
      </c>
      <c r="N91" s="65">
        <f>VLOOKUP(M91,'5S'!$G$8:$I$14,3,1)*VLOOKUP($M$2,'Kriter Ağırlık'!$A$1:$B$8,2,0)*E91*X91</f>
        <v>8</v>
      </c>
      <c r="O91" s="1">
        <f>IFERROR(VLOOKUP(A91,Devamsızlıklar!A:K,10,0),0)</f>
        <v>0</v>
      </c>
      <c r="P91" s="40">
        <f>VLOOKUP(O91,Aralıklar!$A$2:$C$5,3,1)*VLOOKUP($O$2,'Kriter Ağırlık'!$A$1:$B$8,2,0)*E91*X91</f>
        <v>10</v>
      </c>
      <c r="Q91" s="1">
        <f>IFERROR(VLOOKUP(A91,Devamsızlıklar!A:K,8,0),0)</f>
        <v>0</v>
      </c>
      <c r="R91" s="33">
        <f>VLOOKUP(Q91,Aralıklar!$E$2:$G$5,3,1)</f>
        <v>1</v>
      </c>
      <c r="S91" s="33">
        <f>IFERROR(VLOOKUP(A91,Devamsızlıklar!A:K,9,0),0)</f>
        <v>0</v>
      </c>
      <c r="T91" s="33">
        <f>VLOOKUP(S91,Aralıklar!$I$2:$K$6,3,1)</f>
        <v>50</v>
      </c>
      <c r="U91" s="33">
        <f>IFERROR(VLOOKUP(A91,Devamsızlıklar!A:K,11,0),0)</f>
        <v>0</v>
      </c>
      <c r="V91" s="33">
        <f>VLOOKUP(U91,Aralıklar!$M$2:$O$6,3,1)</f>
        <v>50</v>
      </c>
      <c r="W91" s="40">
        <f>IF(X91=0,0,(T91+V91)*R91*VLOOKUP($W$2,'Kriter Ağırlık'!$A$1:$B$8,2,1)*E91)</f>
        <v>10</v>
      </c>
      <c r="X91" s="40">
        <f>IFERROR(VLOOKUP(A91,Devamsızlıklar!A:M,13,0),1)</f>
        <v>1</v>
      </c>
      <c r="Y91" s="40">
        <f>(OEE!$K$6*VLOOKUP($Y$2,'Kriter Ağırlık'!$A$1:$B$8,2,1))*X91*E91</f>
        <v>35</v>
      </c>
      <c r="Z91" s="40">
        <f>(TELEF!$I$10*VLOOKUP($Z$2,'Kriter Ağırlık'!$A$1:$B$8,2,1))*X91*E91</f>
        <v>15</v>
      </c>
      <c r="AA91" s="40">
        <f t="shared" si="8"/>
        <v>96</v>
      </c>
      <c r="AB91" s="1">
        <v>3</v>
      </c>
      <c r="AC91" s="33">
        <f>VLOOKUP(AB91,'Kriter Ağırlık'!$A$12:$C$17,3,0)</f>
        <v>0</v>
      </c>
      <c r="AD91" s="76">
        <v>2</v>
      </c>
      <c r="AE91" s="33">
        <f>VLOOKUP(AD91,'Kriter Ağırlık'!$E$12:$G$24,3,0)</f>
        <v>1.232</v>
      </c>
      <c r="AF91" s="92">
        <f t="shared" si="9"/>
        <v>0</v>
      </c>
      <c r="AG91" t="str">
        <f>VLOOKUP(A91,'Çalışan Listesi'!A:G,6,0)</f>
        <v>TAKIM LİDERİ</v>
      </c>
    </row>
    <row r="92" spans="1:33" x14ac:dyDescent="0.2">
      <c r="A92" s="2">
        <v>2628</v>
      </c>
      <c r="B92" s="3" t="s">
        <v>128</v>
      </c>
      <c r="C92" s="4">
        <v>40882</v>
      </c>
      <c r="D92" s="5">
        <f t="shared" si="10"/>
        <v>90</v>
      </c>
      <c r="E92" s="6">
        <f t="shared" si="7"/>
        <v>1</v>
      </c>
      <c r="F92" s="25" t="s">
        <v>422</v>
      </c>
      <c r="G92" s="3" t="s">
        <v>90</v>
      </c>
      <c r="H92" s="106" t="str">
        <f>VLOOKUP(A92,'Çalışan Listesi'!A:G,7,0)</f>
        <v>4.KADEME</v>
      </c>
      <c r="I92" s="65">
        <f>IFERROR(VLOOKUP(A92,'Kaizen Listesi'!A:H,8,0),0)</f>
        <v>0</v>
      </c>
      <c r="J92" s="65">
        <f>I92*VLOOKUP($I$2,'Kriter Ağırlık'!$A$1:$B$8,2,0)</f>
        <v>0</v>
      </c>
      <c r="K92" s="65">
        <f>IFERROR(VLOOKUP(A92,'Hata Kartı '!A:H,8,0),0)</f>
        <v>33.333333333333336</v>
      </c>
      <c r="L92" s="65">
        <f>K92*(VLOOKUP($K$2,'Kriter Ağırlık'!$A$1:$B$8,2,0))</f>
        <v>3.3333333333333339</v>
      </c>
      <c r="M92" s="65">
        <f>IFERROR(VLOOKUP(F92,'5S'!$B$8:$E$19,4,0),0)</f>
        <v>1</v>
      </c>
      <c r="N92" s="65">
        <f>VLOOKUP(M92,'5S'!$G$8:$I$14,3,1)*VLOOKUP($M$2,'Kriter Ağırlık'!$A$1:$B$8,2,0)*E92*X92</f>
        <v>8</v>
      </c>
      <c r="O92" s="1">
        <f>IFERROR(VLOOKUP(A92,Devamsızlıklar!A:K,10,0),0)</f>
        <v>0</v>
      </c>
      <c r="P92" s="40">
        <f>VLOOKUP(O92,Aralıklar!$A$2:$C$5,3,1)*VLOOKUP($O$2,'Kriter Ağırlık'!$A$1:$B$8,2,0)*E92*X92</f>
        <v>10</v>
      </c>
      <c r="Q92" s="1">
        <f>IFERROR(VLOOKUP(A92,Devamsızlıklar!A:K,8,0),0)</f>
        <v>0</v>
      </c>
      <c r="R92" s="33">
        <f>VLOOKUP(Q92,Aralıklar!$E$2:$G$5,3,1)</f>
        <v>1</v>
      </c>
      <c r="S92" s="33">
        <f>IFERROR(VLOOKUP(A92,Devamsızlıklar!A:K,9,0),0)</f>
        <v>0</v>
      </c>
      <c r="T92" s="33">
        <f>VLOOKUP(S92,Aralıklar!$I$2:$K$6,3,1)</f>
        <v>50</v>
      </c>
      <c r="U92" s="33">
        <f>IFERROR(VLOOKUP(A92,Devamsızlıklar!A:K,11,0),0)</f>
        <v>0</v>
      </c>
      <c r="V92" s="33">
        <f>VLOOKUP(U92,Aralıklar!$M$2:$O$6,3,1)</f>
        <v>50</v>
      </c>
      <c r="W92" s="40">
        <f>IF(X92=0,0,(T92+V92)*R92*VLOOKUP($W$2,'Kriter Ağırlık'!$A$1:$B$8,2,1)*E92)</f>
        <v>10</v>
      </c>
      <c r="X92" s="40">
        <f>IFERROR(VLOOKUP(A92,Devamsızlıklar!A:M,13,0),1)</f>
        <v>1</v>
      </c>
      <c r="Y92" s="40">
        <f>(OEE!$K$6*VLOOKUP($Y$2,'Kriter Ağırlık'!$A$1:$B$8,2,1))*X92*E92</f>
        <v>35</v>
      </c>
      <c r="Z92" s="40">
        <f>(TELEF!$I$10*VLOOKUP($Z$2,'Kriter Ağırlık'!$A$1:$B$8,2,1))*X92*E92</f>
        <v>15</v>
      </c>
      <c r="AA92" s="40">
        <f t="shared" si="8"/>
        <v>81.333333333333343</v>
      </c>
      <c r="AB92" s="1">
        <v>3</v>
      </c>
      <c r="AC92" s="33">
        <f>VLOOKUP(AB92,'Kriter Ağırlık'!$A$12:$C$17,3,0)</f>
        <v>0</v>
      </c>
      <c r="AD92" s="1">
        <v>2</v>
      </c>
      <c r="AE92" s="33">
        <f>VLOOKUP(AD92,'Kriter Ağırlık'!$E$12:$G$24,3,0)</f>
        <v>1.232</v>
      </c>
      <c r="AF92" s="92">
        <f t="shared" si="9"/>
        <v>0</v>
      </c>
      <c r="AG92" t="str">
        <f>VLOOKUP(A92,'Çalışan Listesi'!A:G,6,0)</f>
        <v>TAKIM LİDERİ</v>
      </c>
    </row>
    <row r="93" spans="1:33" x14ac:dyDescent="0.2">
      <c r="A93" s="2">
        <v>2629</v>
      </c>
      <c r="B93" s="3" t="s">
        <v>129</v>
      </c>
      <c r="C93" s="4">
        <v>40882</v>
      </c>
      <c r="D93" s="5">
        <f t="shared" si="10"/>
        <v>90</v>
      </c>
      <c r="E93" s="6">
        <f t="shared" si="7"/>
        <v>1</v>
      </c>
      <c r="F93" s="25" t="s">
        <v>421</v>
      </c>
      <c r="G93" s="3" t="s">
        <v>99</v>
      </c>
      <c r="H93" s="106" t="str">
        <f>VLOOKUP(A93,'Çalışan Listesi'!A:G,7,0)</f>
        <v>4.KADEME</v>
      </c>
      <c r="I93" s="65">
        <f>IFERROR(VLOOKUP(A93,'Kaizen Listesi'!A:H,8,0),0)</f>
        <v>0</v>
      </c>
      <c r="J93" s="65">
        <f>I93*VLOOKUP($I$2,'Kriter Ağırlık'!$A$1:$B$8,2,0)</f>
        <v>0</v>
      </c>
      <c r="K93" s="65">
        <f>IFERROR(VLOOKUP(A93,'Hata Kartı '!A:H,8,0),0)</f>
        <v>66.666666666666671</v>
      </c>
      <c r="L93" s="65">
        <f>K93*(VLOOKUP($K$2,'Kriter Ağırlık'!$A$1:$B$8,2,0))</f>
        <v>6.6666666666666679</v>
      </c>
      <c r="M93" s="65">
        <f>IFERROR(VLOOKUP(F93,'5S'!$B$8:$E$19,4,0),0)</f>
        <v>1</v>
      </c>
      <c r="N93" s="65">
        <f>VLOOKUP(M93,'5S'!$G$8:$I$14,3,1)*VLOOKUP($M$2,'Kriter Ağırlık'!$A$1:$B$8,2,0)*E93*X93</f>
        <v>8</v>
      </c>
      <c r="O93" s="1">
        <f>IFERROR(VLOOKUP(A93,Devamsızlıklar!A:K,10,0),0)</f>
        <v>0</v>
      </c>
      <c r="P93" s="40">
        <f>VLOOKUP(O93,Aralıklar!$A$2:$C$5,3,1)*VLOOKUP($O$2,'Kriter Ağırlık'!$A$1:$B$8,2,0)*E93*X93</f>
        <v>10</v>
      </c>
      <c r="Q93" s="1">
        <f>IFERROR(VLOOKUP(A93,Devamsızlıklar!A:K,8,0),0)</f>
        <v>0</v>
      </c>
      <c r="R93" s="33">
        <f>VLOOKUP(Q93,Aralıklar!$E$2:$G$5,3,1)</f>
        <v>1</v>
      </c>
      <c r="S93" s="33">
        <f>IFERROR(VLOOKUP(A93,Devamsızlıklar!A:K,9,0),0)</f>
        <v>0</v>
      </c>
      <c r="T93" s="33">
        <f>VLOOKUP(S93,Aralıklar!$I$2:$K$6,3,1)</f>
        <v>50</v>
      </c>
      <c r="U93" s="33">
        <f>IFERROR(VLOOKUP(A93,Devamsızlıklar!A:K,11,0),0)</f>
        <v>0</v>
      </c>
      <c r="V93" s="33">
        <f>VLOOKUP(U93,Aralıklar!$M$2:$O$6,3,1)</f>
        <v>50</v>
      </c>
      <c r="W93" s="40">
        <f>IF(X93=0,0,(T93+V93)*R93*VLOOKUP($W$2,'Kriter Ağırlık'!$A$1:$B$8,2,1)*E93)</f>
        <v>10</v>
      </c>
      <c r="X93" s="40">
        <f>IFERROR(VLOOKUP(A93,Devamsızlıklar!A:M,13,0),1)</f>
        <v>1</v>
      </c>
      <c r="Y93" s="40">
        <f>(OEE!$K$6*VLOOKUP($Y$2,'Kriter Ağırlık'!$A$1:$B$8,2,1))*X93*E93</f>
        <v>35</v>
      </c>
      <c r="Z93" s="40">
        <f>(TELEF!$I$10*VLOOKUP($Z$2,'Kriter Ağırlık'!$A$1:$B$8,2,1))*X93*E93</f>
        <v>15</v>
      </c>
      <c r="AA93" s="40">
        <f t="shared" si="8"/>
        <v>84.666666666666671</v>
      </c>
      <c r="AB93" s="1">
        <v>3</v>
      </c>
      <c r="AC93" s="33">
        <f>VLOOKUP(AB93,'Kriter Ağırlık'!$A$12:$C$17,3,0)</f>
        <v>0</v>
      </c>
      <c r="AD93" s="1">
        <v>2</v>
      </c>
      <c r="AE93" s="33">
        <f>VLOOKUP(AD93,'Kriter Ağırlık'!$E$12:$G$24,3,0)</f>
        <v>1.232</v>
      </c>
      <c r="AF93" s="92">
        <f t="shared" si="9"/>
        <v>0</v>
      </c>
      <c r="AG93" t="str">
        <f>VLOOKUP(A93,'Çalışan Listesi'!A:G,6,0)</f>
        <v>TAKIM LİDERİ</v>
      </c>
    </row>
    <row r="94" spans="1:33" x14ac:dyDescent="0.2">
      <c r="A94" s="2">
        <v>2635</v>
      </c>
      <c r="B94" s="3" t="s">
        <v>130</v>
      </c>
      <c r="C94" s="4">
        <v>40896</v>
      </c>
      <c r="D94" s="5">
        <f t="shared" si="10"/>
        <v>90</v>
      </c>
      <c r="E94" s="6">
        <f t="shared" si="7"/>
        <v>1</v>
      </c>
      <c r="F94" s="25" t="s">
        <v>429</v>
      </c>
      <c r="G94" s="3" t="s">
        <v>46</v>
      </c>
      <c r="H94" s="106" t="str">
        <f>VLOOKUP(A94,'Çalışan Listesi'!A:G,7,0)</f>
        <v>3.KADEME</v>
      </c>
      <c r="I94" s="65">
        <f>IFERROR(VLOOKUP(A94,'Kaizen Listesi'!A:H,8,0),0)</f>
        <v>0</v>
      </c>
      <c r="J94" s="65">
        <f>I94*VLOOKUP($I$2,'Kriter Ağırlık'!$A$1:$B$8,2,0)</f>
        <v>0</v>
      </c>
      <c r="K94" s="65">
        <f>IFERROR(VLOOKUP(A94,'Hata Kartı '!A:H,8,0),0)</f>
        <v>33.333333333333336</v>
      </c>
      <c r="L94" s="65">
        <f>K94*(VLOOKUP($K$2,'Kriter Ağırlık'!$A$1:$B$8,2,0))</f>
        <v>3.3333333333333339</v>
      </c>
      <c r="M94" s="65">
        <f>IFERROR(VLOOKUP(F94,'5S'!$B$8:$E$19,4,0),0)</f>
        <v>1</v>
      </c>
      <c r="N94" s="65">
        <f>VLOOKUP(M94,'5S'!$G$8:$I$14,3,1)*VLOOKUP($M$2,'Kriter Ağırlık'!$A$1:$B$8,2,0)*E94*X94</f>
        <v>8</v>
      </c>
      <c r="O94" s="1">
        <f>IFERROR(VLOOKUP(A94,Devamsızlıklar!A:K,10,0),0)</f>
        <v>0</v>
      </c>
      <c r="P94" s="40">
        <f>VLOOKUP(O94,Aralıklar!$A$2:$C$5,3,1)*VLOOKUP($O$2,'Kriter Ağırlık'!$A$1:$B$8,2,0)*E94*X94</f>
        <v>10</v>
      </c>
      <c r="Q94" s="1">
        <f>IFERROR(VLOOKUP(A94,Devamsızlıklar!A:K,8,0),0)</f>
        <v>0</v>
      </c>
      <c r="R94" s="33">
        <f>VLOOKUP(Q94,Aralıklar!$E$2:$G$5,3,1)</f>
        <v>1</v>
      </c>
      <c r="S94" s="33">
        <f>IFERROR(VLOOKUP(A94,Devamsızlıklar!A:K,9,0),0)</f>
        <v>0</v>
      </c>
      <c r="T94" s="33">
        <f>VLOOKUP(S94,Aralıklar!$I$2:$K$6,3,1)</f>
        <v>50</v>
      </c>
      <c r="U94" s="33">
        <f>IFERROR(VLOOKUP(A94,Devamsızlıklar!A:K,11,0),0)</f>
        <v>0</v>
      </c>
      <c r="V94" s="33">
        <f>VLOOKUP(U94,Aralıklar!$M$2:$O$6,3,1)</f>
        <v>50</v>
      </c>
      <c r="W94" s="40">
        <f>IF(X94=0,0,(T94+V94)*R94*VLOOKUP($W$2,'Kriter Ağırlık'!$A$1:$B$8,2,1)*E94)</f>
        <v>10</v>
      </c>
      <c r="X94" s="40">
        <f>IFERROR(VLOOKUP(A94,Devamsızlıklar!A:M,13,0),1)</f>
        <v>1</v>
      </c>
      <c r="Y94" s="40">
        <f>(OEE!$K$6*VLOOKUP($Y$2,'Kriter Ağırlık'!$A$1:$B$8,2,1))*X94*E94</f>
        <v>35</v>
      </c>
      <c r="Z94" s="40">
        <f>(TELEF!$I$10*VLOOKUP($Z$2,'Kriter Ağırlık'!$A$1:$B$8,2,1))*X94*E94</f>
        <v>15</v>
      </c>
      <c r="AA94" s="40">
        <f t="shared" si="8"/>
        <v>81.333333333333343</v>
      </c>
      <c r="AB94" s="1">
        <v>5</v>
      </c>
      <c r="AC94" s="33">
        <f>VLOOKUP(AB94,'Kriter Ağırlık'!$A$12:$C$17,3,0)</f>
        <v>18.5</v>
      </c>
      <c r="AD94" s="1">
        <v>3</v>
      </c>
      <c r="AE94" s="33">
        <f>VLOOKUP(AD94,'Kriter Ağırlık'!$E$12:$G$24,3,0)</f>
        <v>1.1499999999999999</v>
      </c>
      <c r="AF94" s="92">
        <f t="shared" si="9"/>
        <v>1730.3666666666666</v>
      </c>
      <c r="AG94" t="str">
        <f>VLOOKUP(A94,'Çalışan Listesi'!A:G,6,0)</f>
        <v>OPERATÖR</v>
      </c>
    </row>
    <row r="95" spans="1:33" x14ac:dyDescent="0.2">
      <c r="A95" s="2">
        <v>2696</v>
      </c>
      <c r="B95" s="3" t="s">
        <v>131</v>
      </c>
      <c r="C95" s="4">
        <v>40959</v>
      </c>
      <c r="D95" s="5">
        <f t="shared" si="10"/>
        <v>90</v>
      </c>
      <c r="E95" s="6">
        <f t="shared" si="7"/>
        <v>1</v>
      </c>
      <c r="F95" s="25" t="s">
        <v>429</v>
      </c>
      <c r="G95" s="3" t="s">
        <v>26</v>
      </c>
      <c r="H95" s="106" t="str">
        <f>VLOOKUP(A95,'Çalışan Listesi'!A:G,7,0)</f>
        <v>4.KADEME</v>
      </c>
      <c r="I95" s="65">
        <f>IFERROR(VLOOKUP(A95,'Kaizen Listesi'!A:H,8,0),0)</f>
        <v>33.333333333333336</v>
      </c>
      <c r="J95" s="65">
        <f>I95*VLOOKUP($I$2,'Kriter Ağırlık'!$A$1:$B$8,2,0)</f>
        <v>4</v>
      </c>
      <c r="K95" s="65">
        <f>IFERROR(VLOOKUP(A95,'Hata Kartı '!A:H,8,0),0)</f>
        <v>33.333333333333336</v>
      </c>
      <c r="L95" s="65">
        <f>K95*(VLOOKUP($K$2,'Kriter Ağırlık'!$A$1:$B$8,2,0))</f>
        <v>3.3333333333333339</v>
      </c>
      <c r="M95" s="65">
        <f>IFERROR(VLOOKUP(F95,'5S'!$B$8:$E$19,4,0),0)</f>
        <v>1</v>
      </c>
      <c r="N95" s="65">
        <f>VLOOKUP(M95,'5S'!$G$8:$I$14,3,1)*VLOOKUP($M$2,'Kriter Ağırlık'!$A$1:$B$8,2,0)*E95*X95</f>
        <v>8</v>
      </c>
      <c r="O95" s="1">
        <f>IFERROR(VLOOKUP(A95,Devamsızlıklar!A:K,10,0),0)</f>
        <v>0</v>
      </c>
      <c r="P95" s="40">
        <f>VLOOKUP(O95,Aralıklar!$A$2:$C$5,3,1)*VLOOKUP($O$2,'Kriter Ağırlık'!$A$1:$B$8,2,0)*E95*X95</f>
        <v>10</v>
      </c>
      <c r="Q95" s="1">
        <f>IFERROR(VLOOKUP(A95,Devamsızlıklar!A:K,8,0),0)</f>
        <v>0</v>
      </c>
      <c r="R95" s="33">
        <f>VLOOKUP(Q95,Aralıklar!$E$2:$G$5,3,1)</f>
        <v>1</v>
      </c>
      <c r="S95" s="33">
        <f>IFERROR(VLOOKUP(A95,Devamsızlıklar!A:K,9,0),0)</f>
        <v>0</v>
      </c>
      <c r="T95" s="33">
        <f>VLOOKUP(S95,Aralıklar!$I$2:$K$6,3,1)</f>
        <v>50</v>
      </c>
      <c r="U95" s="33">
        <f>IFERROR(VLOOKUP(A95,Devamsızlıklar!A:K,11,0),0)</f>
        <v>0</v>
      </c>
      <c r="V95" s="33">
        <f>VLOOKUP(U95,Aralıklar!$M$2:$O$6,3,1)</f>
        <v>50</v>
      </c>
      <c r="W95" s="40">
        <f>IF(X95=0,0,(T95+V95)*R95*VLOOKUP($W$2,'Kriter Ağırlık'!$A$1:$B$8,2,1)*E95)</f>
        <v>10</v>
      </c>
      <c r="X95" s="40">
        <f>IFERROR(VLOOKUP(A95,Devamsızlıklar!A:M,13,0),1)</f>
        <v>1</v>
      </c>
      <c r="Y95" s="40">
        <f>(OEE!$K$6*VLOOKUP($Y$2,'Kriter Ağırlık'!$A$1:$B$8,2,1))*X95*E95</f>
        <v>35</v>
      </c>
      <c r="Z95" s="40">
        <f>(TELEF!$I$10*VLOOKUP($Z$2,'Kriter Ağırlık'!$A$1:$B$8,2,1))*X95*E95</f>
        <v>15</v>
      </c>
      <c r="AA95" s="40">
        <f t="shared" si="8"/>
        <v>85.333333333333343</v>
      </c>
      <c r="AB95" s="1">
        <v>3</v>
      </c>
      <c r="AC95" s="33">
        <f>VLOOKUP(AB95,'Kriter Ağırlık'!$A$12:$C$17,3,0)</f>
        <v>0</v>
      </c>
      <c r="AD95" s="1">
        <v>2</v>
      </c>
      <c r="AE95" s="33">
        <f>VLOOKUP(AD95,'Kriter Ağırlık'!$E$12:$G$24,3,0)</f>
        <v>1.232</v>
      </c>
      <c r="AF95" s="92">
        <f t="shared" si="9"/>
        <v>0</v>
      </c>
      <c r="AG95" t="str">
        <f>VLOOKUP(A95,'Çalışan Listesi'!A:G,6,0)</f>
        <v>TAKIM LİDERİ</v>
      </c>
    </row>
    <row r="96" spans="1:33" x14ac:dyDescent="0.2">
      <c r="A96" s="2">
        <v>2815</v>
      </c>
      <c r="B96" s="3" t="s">
        <v>132</v>
      </c>
      <c r="C96" s="4">
        <v>41064</v>
      </c>
      <c r="D96" s="5">
        <f t="shared" si="10"/>
        <v>90</v>
      </c>
      <c r="E96" s="6">
        <f t="shared" si="7"/>
        <v>1</v>
      </c>
      <c r="F96" s="25" t="s">
        <v>421</v>
      </c>
      <c r="G96" s="3" t="s">
        <v>61</v>
      </c>
      <c r="H96" s="106" t="str">
        <f>VLOOKUP(A96,'Çalışan Listesi'!A:G,7,0)</f>
        <v>3.KADEME</v>
      </c>
      <c r="I96" s="65">
        <f>IFERROR(VLOOKUP(A96,'Kaizen Listesi'!A:H,8,0),0)</f>
        <v>0</v>
      </c>
      <c r="J96" s="65">
        <f>I96*VLOOKUP($I$2,'Kriter Ağırlık'!$A$1:$B$8,2,0)</f>
        <v>0</v>
      </c>
      <c r="K96" s="65">
        <f>IFERROR(VLOOKUP(A96,'Hata Kartı '!A:H,8,0),0)</f>
        <v>66.666666666666671</v>
      </c>
      <c r="L96" s="65">
        <f>K96*(VLOOKUP($K$2,'Kriter Ağırlık'!$A$1:$B$8,2,0))</f>
        <v>6.6666666666666679</v>
      </c>
      <c r="M96" s="65">
        <f>IFERROR(VLOOKUP(F96,'5S'!$B$8:$E$19,4,0),0)</f>
        <v>1</v>
      </c>
      <c r="N96" s="65">
        <f>VLOOKUP(M96,'5S'!$G$8:$I$14,3,1)*VLOOKUP($M$2,'Kriter Ağırlık'!$A$1:$B$8,2,0)*E96*X96</f>
        <v>7.7333333333333334</v>
      </c>
      <c r="O96" s="1">
        <f>IFERROR(VLOOKUP(A96,Devamsızlıklar!A:K,10,0),0)</f>
        <v>0</v>
      </c>
      <c r="P96" s="40">
        <f>VLOOKUP(O96,Aralıklar!$A$2:$C$5,3,1)*VLOOKUP($O$2,'Kriter Ağırlık'!$A$1:$B$8,2,0)*E96*X96</f>
        <v>9.6666666666666661</v>
      </c>
      <c r="Q96" s="1">
        <f>IFERROR(VLOOKUP(A96,Devamsızlıklar!A:K,8,0),0)</f>
        <v>0</v>
      </c>
      <c r="R96" s="33">
        <f>VLOOKUP(Q96,Aralıklar!$E$2:$G$5,3,1)</f>
        <v>1</v>
      </c>
      <c r="S96" s="33">
        <f>IFERROR(VLOOKUP(A96,Devamsızlıklar!A:K,9,0),0)</f>
        <v>3</v>
      </c>
      <c r="T96" s="33">
        <f>VLOOKUP(S96,Aralıklar!$I$2:$K$6,3,1)</f>
        <v>50</v>
      </c>
      <c r="U96" s="33">
        <f>IFERROR(VLOOKUP(A96,Devamsızlıklar!A:K,11,0),0)</f>
        <v>0</v>
      </c>
      <c r="V96" s="33">
        <f>VLOOKUP(U96,Aralıklar!$M$2:$O$6,3,1)</f>
        <v>50</v>
      </c>
      <c r="W96" s="40">
        <f>IF(X96=0,0,(T96+V96)*R96*VLOOKUP($W$2,'Kriter Ağırlık'!$A$1:$B$8,2,1)*E96)</f>
        <v>10</v>
      </c>
      <c r="X96" s="40">
        <f>IFERROR(VLOOKUP(A96,Devamsızlıklar!A:M,13,0),1)</f>
        <v>0.96666666666666667</v>
      </c>
      <c r="Y96" s="40">
        <f>(OEE!$K$6*VLOOKUP($Y$2,'Kriter Ağırlık'!$A$1:$B$8,2,1))*X96*E96</f>
        <v>33.833333333333336</v>
      </c>
      <c r="Z96" s="40">
        <f>(TELEF!$I$10*VLOOKUP($Z$2,'Kriter Ağırlık'!$A$1:$B$8,2,1))*X96*E96</f>
        <v>14.5</v>
      </c>
      <c r="AA96" s="40">
        <f t="shared" si="8"/>
        <v>82.4</v>
      </c>
      <c r="AB96" s="1">
        <v>5</v>
      </c>
      <c r="AC96" s="33">
        <f>VLOOKUP(AB96,'Kriter Ağırlık'!$A$12:$C$17,3,0)</f>
        <v>18.5</v>
      </c>
      <c r="AD96" s="1">
        <v>3</v>
      </c>
      <c r="AE96" s="33">
        <f>VLOOKUP(AD96,'Kriter Ağırlık'!$E$12:$G$24,3,0)</f>
        <v>1.1499999999999999</v>
      </c>
      <c r="AF96" s="92">
        <f t="shared" si="9"/>
        <v>1753.06</v>
      </c>
      <c r="AG96" t="str">
        <f>VLOOKUP(A96,'Çalışan Listesi'!A:G,6,0)</f>
        <v>OPERATÖR</v>
      </c>
    </row>
    <row r="97" spans="1:33" x14ac:dyDescent="0.2">
      <c r="A97" s="2">
        <v>2865</v>
      </c>
      <c r="B97" s="3" t="s">
        <v>133</v>
      </c>
      <c r="C97" s="4">
        <v>41099</v>
      </c>
      <c r="D97" s="5">
        <f t="shared" si="10"/>
        <v>90</v>
      </c>
      <c r="E97" s="6">
        <f t="shared" si="7"/>
        <v>1</v>
      </c>
      <c r="F97" s="25" t="s">
        <v>421</v>
      </c>
      <c r="G97" s="3" t="s">
        <v>10</v>
      </c>
      <c r="H97" s="106" t="str">
        <f>VLOOKUP(A97,'Çalışan Listesi'!A:G,7,0)</f>
        <v>3.KADEME</v>
      </c>
      <c r="I97" s="65">
        <f>IFERROR(VLOOKUP(A97,'Kaizen Listesi'!A:H,8,0),0)</f>
        <v>0</v>
      </c>
      <c r="J97" s="65">
        <f>I97*VLOOKUP($I$2,'Kriter Ağırlık'!$A$1:$B$8,2,0)</f>
        <v>0</v>
      </c>
      <c r="K97" s="65">
        <f>IFERROR(VLOOKUP(A97,'Hata Kartı '!A:H,8,0),0)</f>
        <v>33.333333333333336</v>
      </c>
      <c r="L97" s="65">
        <f>K97*(VLOOKUP($K$2,'Kriter Ağırlık'!$A$1:$B$8,2,0))</f>
        <v>3.3333333333333339</v>
      </c>
      <c r="M97" s="65">
        <f>IFERROR(VLOOKUP(F97,'5S'!$B$8:$E$19,4,0),0)</f>
        <v>1</v>
      </c>
      <c r="N97" s="65">
        <f>VLOOKUP(M97,'5S'!$G$8:$I$14,3,1)*VLOOKUP($M$2,'Kriter Ağırlık'!$A$1:$B$8,2,0)*E97*X97</f>
        <v>8</v>
      </c>
      <c r="O97" s="1">
        <f>IFERROR(VLOOKUP(A97,Devamsızlıklar!A:K,10,0),0)</f>
        <v>0</v>
      </c>
      <c r="P97" s="40">
        <f>VLOOKUP(O97,Aralıklar!$A$2:$C$5,3,1)*VLOOKUP($O$2,'Kriter Ağırlık'!$A$1:$B$8,2,0)*E97*X97</f>
        <v>10</v>
      </c>
      <c r="Q97" s="1">
        <f>IFERROR(VLOOKUP(A97,Devamsızlıklar!A:K,8,0),0)</f>
        <v>0</v>
      </c>
      <c r="R97" s="33">
        <f>VLOOKUP(Q97,Aralıklar!$E$2:$G$5,3,1)</f>
        <v>1</v>
      </c>
      <c r="S97" s="33">
        <f>IFERROR(VLOOKUP(A97,Devamsızlıklar!A:K,9,0),0)</f>
        <v>0</v>
      </c>
      <c r="T97" s="33">
        <f>VLOOKUP(S97,Aralıklar!$I$2:$K$6,3,1)</f>
        <v>50</v>
      </c>
      <c r="U97" s="33">
        <f>IFERROR(VLOOKUP(A97,Devamsızlıklar!A:K,11,0),0)</f>
        <v>0</v>
      </c>
      <c r="V97" s="33">
        <f>VLOOKUP(U97,Aralıklar!$M$2:$O$6,3,1)</f>
        <v>50</v>
      </c>
      <c r="W97" s="40">
        <f>IF(X97=0,0,(T97+V97)*R97*VLOOKUP($W$2,'Kriter Ağırlık'!$A$1:$B$8,2,1)*E97)</f>
        <v>10</v>
      </c>
      <c r="X97" s="40">
        <f>IFERROR(VLOOKUP(A97,Devamsızlıklar!A:M,13,0),1)</f>
        <v>1</v>
      </c>
      <c r="Y97" s="40">
        <f>(OEE!$K$6*VLOOKUP($Y$2,'Kriter Ağırlık'!$A$1:$B$8,2,1))*X97*E97</f>
        <v>35</v>
      </c>
      <c r="Z97" s="40">
        <f>(TELEF!$I$10*VLOOKUP($Z$2,'Kriter Ağırlık'!$A$1:$B$8,2,1))*X97*E97</f>
        <v>15</v>
      </c>
      <c r="AA97" s="40">
        <f t="shared" si="8"/>
        <v>81.333333333333343</v>
      </c>
      <c r="AB97" s="1">
        <v>5</v>
      </c>
      <c r="AC97" s="33">
        <f>VLOOKUP(AB97,'Kriter Ağırlık'!$A$12:$C$17,3,0)</f>
        <v>18.5</v>
      </c>
      <c r="AD97" s="1">
        <v>3</v>
      </c>
      <c r="AE97" s="33">
        <f>VLOOKUP(AD97,'Kriter Ağırlık'!$E$12:$G$24,3,0)</f>
        <v>1.1499999999999999</v>
      </c>
      <c r="AF97" s="92">
        <f t="shared" si="9"/>
        <v>1730.3666666666666</v>
      </c>
      <c r="AG97" t="str">
        <f>VLOOKUP(A97,'Çalışan Listesi'!A:G,6,0)</f>
        <v>OPERATÖR</v>
      </c>
    </row>
    <row r="98" spans="1:33" x14ac:dyDescent="0.2">
      <c r="A98" s="2">
        <v>2867</v>
      </c>
      <c r="B98" s="3" t="s">
        <v>134</v>
      </c>
      <c r="C98" s="4">
        <v>41099</v>
      </c>
      <c r="D98" s="5">
        <f t="shared" si="10"/>
        <v>90</v>
      </c>
      <c r="E98" s="6">
        <f t="shared" si="7"/>
        <v>1</v>
      </c>
      <c r="F98" s="25" t="s">
        <v>429</v>
      </c>
      <c r="G98" s="3" t="s">
        <v>46</v>
      </c>
      <c r="H98" s="106" t="str">
        <f>VLOOKUP(A98,'Çalışan Listesi'!A:G,7,0)</f>
        <v>3.KADEME</v>
      </c>
      <c r="I98" s="65">
        <f>IFERROR(VLOOKUP(A98,'Kaizen Listesi'!A:H,8,0),0)</f>
        <v>0</v>
      </c>
      <c r="J98" s="65">
        <f>I98*VLOOKUP($I$2,'Kriter Ağırlık'!$A$1:$B$8,2,0)</f>
        <v>0</v>
      </c>
      <c r="K98" s="65">
        <f>IFERROR(VLOOKUP(A98,'Hata Kartı '!A:H,8,0),0)</f>
        <v>0</v>
      </c>
      <c r="L98" s="65">
        <f>K98*(VLOOKUP($K$2,'Kriter Ağırlık'!$A$1:$B$8,2,0))</f>
        <v>0</v>
      </c>
      <c r="M98" s="65">
        <f>IFERROR(VLOOKUP(F98,'5S'!$B$8:$E$19,4,0),0)</f>
        <v>1</v>
      </c>
      <c r="N98" s="65">
        <f>VLOOKUP(M98,'5S'!$G$8:$I$14,3,1)*VLOOKUP($M$2,'Kriter Ağırlık'!$A$1:$B$8,2,0)*E98*X98</f>
        <v>8</v>
      </c>
      <c r="O98" s="1">
        <f>IFERROR(VLOOKUP(A98,Devamsızlıklar!A:K,10,0),0)</f>
        <v>0</v>
      </c>
      <c r="P98" s="40">
        <f>VLOOKUP(O98,Aralıklar!$A$2:$C$5,3,1)*VLOOKUP($O$2,'Kriter Ağırlık'!$A$1:$B$8,2,0)*E98*X98</f>
        <v>10</v>
      </c>
      <c r="Q98" s="1">
        <f>IFERROR(VLOOKUP(A98,Devamsızlıklar!A:K,8,0),0)</f>
        <v>0</v>
      </c>
      <c r="R98" s="33">
        <f>VLOOKUP(Q98,Aralıklar!$E$2:$G$5,3,1)</f>
        <v>1</v>
      </c>
      <c r="S98" s="33">
        <f>IFERROR(VLOOKUP(A98,Devamsızlıklar!A:K,9,0),0)</f>
        <v>0</v>
      </c>
      <c r="T98" s="33">
        <f>VLOOKUP(S98,Aralıklar!$I$2:$K$6,3,1)</f>
        <v>50</v>
      </c>
      <c r="U98" s="33">
        <f>IFERROR(VLOOKUP(A98,Devamsızlıklar!A:K,11,0),0)</f>
        <v>0</v>
      </c>
      <c r="V98" s="33">
        <f>VLOOKUP(U98,Aralıklar!$M$2:$O$6,3,1)</f>
        <v>50</v>
      </c>
      <c r="W98" s="40">
        <f>IF(X98=0,0,(T98+V98)*R98*VLOOKUP($W$2,'Kriter Ağırlık'!$A$1:$B$8,2,1)*E98)</f>
        <v>10</v>
      </c>
      <c r="X98" s="40">
        <f>IFERROR(VLOOKUP(A98,Devamsızlıklar!A:M,13,0),1)</f>
        <v>1</v>
      </c>
      <c r="Y98" s="40">
        <f>(OEE!$K$6*VLOOKUP($Y$2,'Kriter Ağırlık'!$A$1:$B$8,2,1))*X98*E98</f>
        <v>35</v>
      </c>
      <c r="Z98" s="40">
        <f>(TELEF!$I$10*VLOOKUP($Z$2,'Kriter Ağırlık'!$A$1:$B$8,2,1))*X98*E98</f>
        <v>15</v>
      </c>
      <c r="AA98" s="40">
        <f t="shared" si="8"/>
        <v>78</v>
      </c>
      <c r="AB98" s="1">
        <v>5</v>
      </c>
      <c r="AC98" s="33">
        <f>VLOOKUP(AB98,'Kriter Ağırlık'!$A$12:$C$17,3,0)</f>
        <v>18.5</v>
      </c>
      <c r="AD98" s="1">
        <v>3</v>
      </c>
      <c r="AE98" s="33">
        <f>VLOOKUP(AD98,'Kriter Ağırlık'!$E$12:$G$24,3,0)</f>
        <v>1.1499999999999999</v>
      </c>
      <c r="AF98" s="92">
        <f t="shared" si="9"/>
        <v>1659.4499999999998</v>
      </c>
      <c r="AG98" t="str">
        <f>VLOOKUP(A98,'Çalışan Listesi'!A:G,6,0)</f>
        <v>OPERATÖR</v>
      </c>
    </row>
    <row r="99" spans="1:33" x14ac:dyDescent="0.2">
      <c r="A99" s="2">
        <v>3111</v>
      </c>
      <c r="B99" s="3" t="s">
        <v>135</v>
      </c>
      <c r="C99" s="4">
        <v>41428</v>
      </c>
      <c r="D99" s="5">
        <f t="shared" si="10"/>
        <v>90</v>
      </c>
      <c r="E99" s="6">
        <f t="shared" si="7"/>
        <v>1</v>
      </c>
      <c r="F99" s="25" t="s">
        <v>423</v>
      </c>
      <c r="G99" s="3" t="s">
        <v>102</v>
      </c>
      <c r="H99" s="106" t="str">
        <f>VLOOKUP(A99,'Çalışan Listesi'!A:G,7,0)</f>
        <v>3.KADEME</v>
      </c>
      <c r="I99" s="65">
        <f>IFERROR(VLOOKUP(A99,'Kaizen Listesi'!A:H,8,0),0)</f>
        <v>0</v>
      </c>
      <c r="J99" s="65">
        <f>I99*VLOOKUP($I$2,'Kriter Ağırlık'!$A$1:$B$8,2,0)</f>
        <v>0</v>
      </c>
      <c r="K99" s="65">
        <f>IFERROR(VLOOKUP(A99,'Hata Kartı '!A:H,8,0),0)</f>
        <v>0</v>
      </c>
      <c r="L99" s="65">
        <f>K99*(VLOOKUP($K$2,'Kriter Ağırlık'!$A$1:$B$8,2,0))</f>
        <v>0</v>
      </c>
      <c r="M99" s="65">
        <f>IFERROR(VLOOKUP(F99,'5S'!$B$8:$E$19,4,0),0)</f>
        <v>1</v>
      </c>
      <c r="N99" s="65">
        <f>VLOOKUP(M99,'5S'!$G$8:$I$14,3,1)*VLOOKUP($M$2,'Kriter Ağırlık'!$A$1:$B$8,2,0)*E99*X99</f>
        <v>7.3777777777777782</v>
      </c>
      <c r="O99" s="1">
        <f>IFERROR(VLOOKUP(A99,Devamsızlıklar!A:K,10,0),0)</f>
        <v>0</v>
      </c>
      <c r="P99" s="40">
        <f>VLOOKUP(O99,Aralıklar!$A$2:$C$5,3,1)*VLOOKUP($O$2,'Kriter Ağırlık'!$A$1:$B$8,2,0)*E99*X99</f>
        <v>9.2222222222222232</v>
      </c>
      <c r="Q99" s="1">
        <f>IFERROR(VLOOKUP(A99,Devamsızlıklar!A:K,8,0),0)</f>
        <v>0</v>
      </c>
      <c r="R99" s="33">
        <f>VLOOKUP(Q99,Aralıklar!$E$2:$G$5,3,1)</f>
        <v>1</v>
      </c>
      <c r="S99" s="33">
        <f>IFERROR(VLOOKUP(A99,Devamsızlıklar!A:K,9,0),0)</f>
        <v>0</v>
      </c>
      <c r="T99" s="33">
        <f>VLOOKUP(S99,Aralıklar!$I$2:$K$6,3,1)</f>
        <v>50</v>
      </c>
      <c r="U99" s="33">
        <f>IFERROR(VLOOKUP(A99,Devamsızlıklar!A:K,11,0),0)</f>
        <v>0</v>
      </c>
      <c r="V99" s="33">
        <f>VLOOKUP(U99,Aralıklar!$M$2:$O$6,3,1)</f>
        <v>50</v>
      </c>
      <c r="W99" s="40">
        <f>IF(X99=0,0,(T99+V99)*R99*VLOOKUP($W$2,'Kriter Ağırlık'!$A$1:$B$8,2,1)*E99)</f>
        <v>10</v>
      </c>
      <c r="X99" s="40">
        <f>IFERROR(VLOOKUP(A99,Devamsızlıklar!A:M,13,0),1)</f>
        <v>0.92222222222222228</v>
      </c>
      <c r="Y99" s="40">
        <f>(OEE!$K$6*VLOOKUP($Y$2,'Kriter Ağırlık'!$A$1:$B$8,2,1))*X99*E99</f>
        <v>32.277777777777779</v>
      </c>
      <c r="Z99" s="40">
        <f>(TELEF!$I$10*VLOOKUP($Z$2,'Kriter Ağırlık'!$A$1:$B$8,2,1))*X99*E99</f>
        <v>13.833333333333334</v>
      </c>
      <c r="AA99" s="40">
        <f t="shared" si="8"/>
        <v>72.711111111111109</v>
      </c>
      <c r="AB99" s="1">
        <v>5</v>
      </c>
      <c r="AC99" s="33">
        <f>VLOOKUP(AB99,'Kriter Ağırlık'!$A$12:$C$17,3,0)</f>
        <v>18.5</v>
      </c>
      <c r="AD99" s="1">
        <v>7</v>
      </c>
      <c r="AE99" s="33">
        <f>VLOOKUP(AD99,'Kriter Ağırlık'!$E$12:$G$24,3,0)</f>
        <v>1.19</v>
      </c>
      <c r="AF99" s="92">
        <f t="shared" si="9"/>
        <v>1600.7351111111111</v>
      </c>
      <c r="AG99" t="str">
        <f>VLOOKUP(A99,'Çalışan Listesi'!A:G,6,0)</f>
        <v>TEKNİSYEN</v>
      </c>
    </row>
    <row r="100" spans="1:33" x14ac:dyDescent="0.2">
      <c r="A100" s="2">
        <v>3113</v>
      </c>
      <c r="B100" s="3" t="s">
        <v>136</v>
      </c>
      <c r="C100" s="4">
        <v>41428</v>
      </c>
      <c r="D100" s="5">
        <f t="shared" si="10"/>
        <v>90</v>
      </c>
      <c r="E100" s="6">
        <f t="shared" si="7"/>
        <v>1</v>
      </c>
      <c r="F100" s="25" t="s">
        <v>421</v>
      </c>
      <c r="G100" s="3" t="s">
        <v>61</v>
      </c>
      <c r="H100" s="106" t="str">
        <f>VLOOKUP(A100,'Çalışan Listesi'!A:G,7,0)</f>
        <v>3.KADEME</v>
      </c>
      <c r="I100" s="65">
        <f>IFERROR(VLOOKUP(A100,'Kaizen Listesi'!A:H,8,0),0)</f>
        <v>0</v>
      </c>
      <c r="J100" s="65">
        <f>I100*VLOOKUP($I$2,'Kriter Ağırlık'!$A$1:$B$8,2,0)</f>
        <v>0</v>
      </c>
      <c r="K100" s="65">
        <f>IFERROR(VLOOKUP(A100,'Hata Kartı '!A:H,8,0),0)</f>
        <v>0</v>
      </c>
      <c r="L100" s="65">
        <f>K100*(VLOOKUP($K$2,'Kriter Ağırlık'!$A$1:$B$8,2,0))</f>
        <v>0</v>
      </c>
      <c r="M100" s="65">
        <f>IFERROR(VLOOKUP(F100,'5S'!$B$8:$E$19,4,0),0)</f>
        <v>1</v>
      </c>
      <c r="N100" s="65">
        <f>VLOOKUP(M100,'5S'!$G$8:$I$14,3,1)*VLOOKUP($M$2,'Kriter Ağırlık'!$A$1:$B$8,2,0)*E100*X100</f>
        <v>0</v>
      </c>
      <c r="O100" s="1">
        <f>IFERROR(VLOOKUP(A100,Devamsızlıklar!A:K,10,0),0)</f>
        <v>0</v>
      </c>
      <c r="P100" s="40">
        <f>VLOOKUP(O100,Aralıklar!$A$2:$C$5,3,1)*VLOOKUP($O$2,'Kriter Ağırlık'!$A$1:$B$8,2,0)*E100*X100</f>
        <v>0</v>
      </c>
      <c r="Q100" s="1">
        <f>IFERROR(VLOOKUP(A100,Devamsızlıklar!A:K,8,0),0)</f>
        <v>0</v>
      </c>
      <c r="R100" s="33">
        <f>VLOOKUP(Q100,Aralıklar!$E$2:$G$5,3,1)</f>
        <v>1</v>
      </c>
      <c r="S100" s="33">
        <f>IFERROR(VLOOKUP(A100,Devamsızlıklar!A:K,9,0),0)</f>
        <v>0</v>
      </c>
      <c r="T100" s="33">
        <f>VLOOKUP(S100,Aralıklar!$I$2:$K$6,3,1)</f>
        <v>50</v>
      </c>
      <c r="U100" s="33">
        <f>IFERROR(VLOOKUP(A100,Devamsızlıklar!A:K,11,0),0)</f>
        <v>53</v>
      </c>
      <c r="V100" s="33">
        <f>VLOOKUP(U100,Aralıklar!$M$2:$O$6,3,1)</f>
        <v>0</v>
      </c>
      <c r="W100" s="40">
        <f>IF(X100=0,0,(T100+V100)*R100*VLOOKUP($W$2,'Kriter Ağırlık'!$A$1:$B$8,2,1)*E100)</f>
        <v>0</v>
      </c>
      <c r="X100" s="40">
        <f>IFERROR(VLOOKUP(A100,Devamsızlıklar!A:M,13,0),1)</f>
        <v>0</v>
      </c>
      <c r="Y100" s="40">
        <f>(OEE!$K$6*VLOOKUP($Y$2,'Kriter Ağırlık'!$A$1:$B$8,2,1))*X100*E100</f>
        <v>0</v>
      </c>
      <c r="Z100" s="40">
        <f>(TELEF!$I$10*VLOOKUP($Z$2,'Kriter Ağırlık'!$A$1:$B$8,2,1))*X100*E100</f>
        <v>0</v>
      </c>
      <c r="AA100" s="40">
        <f t="shared" si="8"/>
        <v>0</v>
      </c>
      <c r="AB100" s="1">
        <v>5</v>
      </c>
      <c r="AC100" s="33">
        <f>VLOOKUP(AB100,'Kriter Ağırlık'!$A$12:$C$17,3,0)</f>
        <v>18.5</v>
      </c>
      <c r="AD100" s="1">
        <v>3</v>
      </c>
      <c r="AE100" s="33">
        <f>VLOOKUP(AD100,'Kriter Ağırlık'!$E$12:$G$24,3,0)</f>
        <v>1.1499999999999999</v>
      </c>
      <c r="AF100" s="92">
        <f t="shared" si="9"/>
        <v>0</v>
      </c>
      <c r="AG100" t="str">
        <f>VLOOKUP(A100,'Çalışan Listesi'!A:G,6,0)</f>
        <v>OPERATÖR</v>
      </c>
    </row>
    <row r="101" spans="1:33" x14ac:dyDescent="0.2">
      <c r="A101" s="2">
        <v>3176</v>
      </c>
      <c r="B101" s="3" t="s">
        <v>137</v>
      </c>
      <c r="C101" s="4">
        <v>43514</v>
      </c>
      <c r="D101" s="5">
        <f t="shared" si="10"/>
        <v>90</v>
      </c>
      <c r="E101" s="6">
        <f t="shared" si="7"/>
        <v>1</v>
      </c>
      <c r="F101" s="25" t="s">
        <v>421</v>
      </c>
      <c r="G101" s="3" t="s">
        <v>61</v>
      </c>
      <c r="H101" s="106" t="str">
        <f>VLOOKUP(A101,'Çalışan Listesi'!A:G,7,0)</f>
        <v>2.KADEME</v>
      </c>
      <c r="I101" s="65">
        <f>IFERROR(VLOOKUP(A101,'Kaizen Listesi'!A:H,8,0),0)</f>
        <v>0</v>
      </c>
      <c r="J101" s="65">
        <f>I101*VLOOKUP($I$2,'Kriter Ağırlık'!$A$1:$B$8,2,0)</f>
        <v>0</v>
      </c>
      <c r="K101" s="65">
        <f>IFERROR(VLOOKUP(A101,'Hata Kartı '!A:H,8,0),0)</f>
        <v>16.666666666666668</v>
      </c>
      <c r="L101" s="65">
        <f>K101*(VLOOKUP($K$2,'Kriter Ağırlık'!$A$1:$B$8,2,0))</f>
        <v>1.666666666666667</v>
      </c>
      <c r="M101" s="65">
        <f>IFERROR(VLOOKUP(F101,'5S'!$B$8:$E$19,4,0),0)</f>
        <v>1</v>
      </c>
      <c r="N101" s="65">
        <f>VLOOKUP(M101,'5S'!$G$8:$I$14,3,1)*VLOOKUP($M$2,'Kriter Ağırlık'!$A$1:$B$8,2,0)*E101*X101</f>
        <v>8</v>
      </c>
      <c r="O101" s="1">
        <f>IFERROR(VLOOKUP(A101,Devamsızlıklar!A:K,10,0),0)</f>
        <v>0</v>
      </c>
      <c r="P101" s="40">
        <f>VLOOKUP(O101,Aralıklar!$A$2:$C$5,3,1)*VLOOKUP($O$2,'Kriter Ağırlık'!$A$1:$B$8,2,0)*E101*X101</f>
        <v>10</v>
      </c>
      <c r="Q101" s="1">
        <f>IFERROR(VLOOKUP(A101,Devamsızlıklar!A:K,8,0),0)</f>
        <v>0</v>
      </c>
      <c r="R101" s="33">
        <f>VLOOKUP(Q101,Aralıklar!$E$2:$G$5,3,1)</f>
        <v>1</v>
      </c>
      <c r="S101" s="33">
        <f>IFERROR(VLOOKUP(A101,Devamsızlıklar!A:K,9,0),0)</f>
        <v>0</v>
      </c>
      <c r="T101" s="33">
        <f>VLOOKUP(S101,Aralıklar!$I$2:$K$6,3,1)</f>
        <v>50</v>
      </c>
      <c r="U101" s="33">
        <f>IFERROR(VLOOKUP(A101,Devamsızlıklar!A:K,11,0),0)</f>
        <v>0</v>
      </c>
      <c r="V101" s="33">
        <f>VLOOKUP(U101,Aralıklar!$M$2:$O$6,3,1)</f>
        <v>50</v>
      </c>
      <c r="W101" s="40">
        <f>IF(X101=0,0,(T101+V101)*R101*VLOOKUP($W$2,'Kriter Ağırlık'!$A$1:$B$8,2,1)*E101)</f>
        <v>10</v>
      </c>
      <c r="X101" s="40">
        <f>IFERROR(VLOOKUP(A101,Devamsızlıklar!A:M,13,0),1)</f>
        <v>1</v>
      </c>
      <c r="Y101" s="40">
        <f>(OEE!$K$6*VLOOKUP($Y$2,'Kriter Ağırlık'!$A$1:$B$8,2,1))*X101*E101</f>
        <v>35</v>
      </c>
      <c r="Z101" s="40">
        <f>(TELEF!$I$10*VLOOKUP($Z$2,'Kriter Ağırlık'!$A$1:$B$8,2,1))*X101*E101</f>
        <v>15</v>
      </c>
      <c r="AA101" s="40">
        <f t="shared" si="8"/>
        <v>79.666666666666671</v>
      </c>
      <c r="AB101" s="1">
        <v>5</v>
      </c>
      <c r="AC101" s="33">
        <f>VLOOKUP(AB101,'Kriter Ağırlık'!$A$12:$C$17,3,0)</f>
        <v>18.5</v>
      </c>
      <c r="AD101" s="106">
        <v>4</v>
      </c>
      <c r="AE101" s="33">
        <f>VLOOKUP(AD101,'Kriter Ağırlık'!$E$12:$G$24,3,0)</f>
        <v>1.077</v>
      </c>
      <c r="AF101" s="92">
        <f t="shared" si="9"/>
        <v>1587.3185000000001</v>
      </c>
      <c r="AG101" t="str">
        <f>VLOOKUP(A101,'Çalışan Listesi'!A:G,6,0)</f>
        <v>OPERATÖR</v>
      </c>
    </row>
    <row r="102" spans="1:33" x14ac:dyDescent="0.2">
      <c r="A102" s="2">
        <v>3351</v>
      </c>
      <c r="B102" s="3" t="s">
        <v>138</v>
      </c>
      <c r="C102" s="4">
        <v>41632</v>
      </c>
      <c r="D102" s="5">
        <f t="shared" si="10"/>
        <v>90</v>
      </c>
      <c r="E102" s="6">
        <f t="shared" si="7"/>
        <v>1</v>
      </c>
      <c r="F102" s="25" t="s">
        <v>422</v>
      </c>
      <c r="G102" s="3" t="s">
        <v>54</v>
      </c>
      <c r="H102" s="106" t="str">
        <f>VLOOKUP(A102,'Çalışan Listesi'!A:G,7,0)</f>
        <v>3.KADEME</v>
      </c>
      <c r="I102" s="65">
        <f>IFERROR(VLOOKUP(A102,'Kaizen Listesi'!A:H,8,0),0)</f>
        <v>0</v>
      </c>
      <c r="J102" s="65">
        <f>I102*VLOOKUP($I$2,'Kriter Ağırlık'!$A$1:$B$8,2,0)</f>
        <v>0</v>
      </c>
      <c r="K102" s="65">
        <f>IFERROR(VLOOKUP(A102,'Hata Kartı '!A:H,8,0),0)</f>
        <v>0</v>
      </c>
      <c r="L102" s="65">
        <f>K102*(VLOOKUP($K$2,'Kriter Ağırlık'!$A$1:$B$8,2,0))</f>
        <v>0</v>
      </c>
      <c r="M102" s="65">
        <f>IFERROR(VLOOKUP(F102,'5S'!$B$8:$E$19,4,0),0)</f>
        <v>1</v>
      </c>
      <c r="N102" s="65">
        <f>VLOOKUP(M102,'5S'!$G$8:$I$14,3,1)*VLOOKUP($M$2,'Kriter Ağırlık'!$A$1:$B$8,2,0)*E102*X102</f>
        <v>8</v>
      </c>
      <c r="O102" s="1">
        <f>IFERROR(VLOOKUP(A102,Devamsızlıklar!A:K,10,0),0)</f>
        <v>0</v>
      </c>
      <c r="P102" s="40">
        <f>VLOOKUP(O102,Aralıklar!$A$2:$C$5,3,1)*VLOOKUP($O$2,'Kriter Ağırlık'!$A$1:$B$8,2,0)*E102*X102</f>
        <v>10</v>
      </c>
      <c r="Q102" s="1">
        <f>IFERROR(VLOOKUP(A102,Devamsızlıklar!A:K,8,0),0)</f>
        <v>0</v>
      </c>
      <c r="R102" s="33">
        <f>VLOOKUP(Q102,Aralıklar!$E$2:$G$5,3,1)</f>
        <v>1</v>
      </c>
      <c r="S102" s="33">
        <f>IFERROR(VLOOKUP(A102,Devamsızlıklar!A:K,9,0),0)</f>
        <v>0</v>
      </c>
      <c r="T102" s="33">
        <f>VLOOKUP(S102,Aralıklar!$I$2:$K$6,3,1)</f>
        <v>50</v>
      </c>
      <c r="U102" s="33">
        <f>IFERROR(VLOOKUP(A102,Devamsızlıklar!A:K,11,0),0)</f>
        <v>0</v>
      </c>
      <c r="V102" s="33">
        <f>VLOOKUP(U102,Aralıklar!$M$2:$O$6,3,1)</f>
        <v>50</v>
      </c>
      <c r="W102" s="40">
        <f>IF(X102=0,0,(T102+V102)*R102*VLOOKUP($W$2,'Kriter Ağırlık'!$A$1:$B$8,2,1)*E102)</f>
        <v>10</v>
      </c>
      <c r="X102" s="40">
        <f>IFERROR(VLOOKUP(A102,Devamsızlıklar!A:M,13,0),1)</f>
        <v>1</v>
      </c>
      <c r="Y102" s="40">
        <f>(OEE!$K$6*VLOOKUP($Y$2,'Kriter Ağırlık'!$A$1:$B$8,2,1))*X102*E102</f>
        <v>35</v>
      </c>
      <c r="Z102" s="40">
        <f>(TELEF!$I$10*VLOOKUP($Z$2,'Kriter Ağırlık'!$A$1:$B$8,2,1))*X102*E102</f>
        <v>15</v>
      </c>
      <c r="AA102" s="40">
        <f t="shared" si="8"/>
        <v>78</v>
      </c>
      <c r="AB102" s="1">
        <v>5</v>
      </c>
      <c r="AC102" s="33">
        <f>VLOOKUP(AB102,'Kriter Ağırlık'!$A$12:$C$17,3,0)</f>
        <v>18.5</v>
      </c>
      <c r="AD102" s="1">
        <v>3</v>
      </c>
      <c r="AE102" s="33">
        <f>VLOOKUP(AD102,'Kriter Ağırlık'!$E$12:$G$24,3,0)</f>
        <v>1.1499999999999999</v>
      </c>
      <c r="AF102" s="92">
        <f t="shared" si="9"/>
        <v>1659.4499999999998</v>
      </c>
      <c r="AG102" t="str">
        <f>VLOOKUP(A102,'Çalışan Listesi'!A:G,6,0)</f>
        <v>OPERATÖR</v>
      </c>
    </row>
    <row r="103" spans="1:33" s="122" customFormat="1" x14ac:dyDescent="0.2">
      <c r="A103" s="112">
        <v>3366</v>
      </c>
      <c r="B103" s="113" t="s">
        <v>139</v>
      </c>
      <c r="C103" s="114">
        <v>41641</v>
      </c>
      <c r="D103" s="115">
        <v>60</v>
      </c>
      <c r="E103" s="116">
        <f t="shared" si="7"/>
        <v>0.66666666666666663</v>
      </c>
      <c r="F103" s="135" t="s">
        <v>548</v>
      </c>
      <c r="G103" s="113" t="s">
        <v>64</v>
      </c>
      <c r="H103" s="118" t="str">
        <f>VLOOKUP(A103,'Çalışan Listesi'!A:G,7,0)</f>
        <v>3.KADEME</v>
      </c>
      <c r="I103" s="119">
        <f>IFERROR(VLOOKUP(A103,'Kaizen Listesi'!A:H,8,0),0)</f>
        <v>0</v>
      </c>
      <c r="J103" s="119">
        <f>I103*VLOOKUP($I$2,'Kriter Ağırlık'!$A$1:$B$8,2,0)</f>
        <v>0</v>
      </c>
      <c r="K103" s="119">
        <f>IFERROR(VLOOKUP(A103,'Hata Kartı '!A:H,8,0),0)</f>
        <v>50</v>
      </c>
      <c r="L103" s="119">
        <f>K103*(VLOOKUP($K$2,'Kriter Ağırlık'!$A$1:$B$8,2,0))</f>
        <v>5</v>
      </c>
      <c r="M103" s="119">
        <f>IFERROR(VLOOKUP(F103,'5S'!$B$8:$E$19,4,0),0)</f>
        <v>0</v>
      </c>
      <c r="N103" s="119">
        <f>VLOOKUP(M103,'5S'!$G$8:$I$14,3,1)*VLOOKUP($M$2,'Kriter Ağırlık'!$A$1:$B$8,2,0)*E103*X103</f>
        <v>0</v>
      </c>
      <c r="O103" s="118">
        <f>IFERROR(VLOOKUP(A103,Devamsızlıklar!A:K,10,0),0)</f>
        <v>0</v>
      </c>
      <c r="P103" s="120">
        <f>VLOOKUP(O103,Aralıklar!$A$2:$C$5,3,1)*VLOOKUP($O$2,'Kriter Ağırlık'!$A$1:$B$8,2,0)*E103*X103</f>
        <v>6.6666666666666661</v>
      </c>
      <c r="Q103" s="76">
        <f>IFERROR(VLOOKUP(A103,Devamsızlıklar!A:K,8,0),0)</f>
        <v>0</v>
      </c>
      <c r="R103" s="76">
        <f>VLOOKUP(Q103,Aralıklar!$E$2:$G$5,3,1)</f>
        <v>1</v>
      </c>
      <c r="S103" s="76">
        <f>IFERROR(VLOOKUP(A103,Devamsızlıklar!A:K,9,0),0)</f>
        <v>0</v>
      </c>
      <c r="T103" s="76">
        <f>VLOOKUP(S103,Aralıklar!$I$2:$K$6,3,1)</f>
        <v>50</v>
      </c>
      <c r="U103" s="76">
        <f>IFERROR(VLOOKUP(A103,Devamsızlıklar!A:K,11,0),0)</f>
        <v>0</v>
      </c>
      <c r="V103" s="76">
        <f>VLOOKUP(U103,Aralıklar!$M$2:$O$6,3,1)</f>
        <v>50</v>
      </c>
      <c r="W103" s="120">
        <f>IF(X103=0,0,(T103+V103)*R103*VLOOKUP($W$2,'Kriter Ağırlık'!$A$1:$B$8,2,1)*E103)</f>
        <v>6.6666666666666661</v>
      </c>
      <c r="X103" s="120">
        <f>IFERROR(VLOOKUP(A103,Devamsızlıklar!A:M,13,0),1)</f>
        <v>1</v>
      </c>
      <c r="Y103" s="120">
        <f>(OEE!$K$6*VLOOKUP($Y$2,'Kriter Ağırlık'!$A$1:$B$8,2,1))*X103*E103</f>
        <v>23.333333333333332</v>
      </c>
      <c r="Z103" s="120">
        <f>(TELEF!$I$10*VLOOKUP($Z$2,'Kriter Ağırlık'!$A$1:$B$8,2,1))*X103*E103</f>
        <v>10</v>
      </c>
      <c r="AA103" s="120">
        <f t="shared" si="8"/>
        <v>51.666666666666664</v>
      </c>
      <c r="AB103" s="118">
        <v>4</v>
      </c>
      <c r="AC103" s="118">
        <f>VLOOKUP(AB103,'Kriter Ağırlık'!$A$12:$C$17,3,0)</f>
        <v>13.5</v>
      </c>
      <c r="AD103" s="118">
        <v>3</v>
      </c>
      <c r="AE103" s="118">
        <f>VLOOKUP(AD103,'Kriter Ağırlık'!$E$12:$G$24,3,0)</f>
        <v>1.1499999999999999</v>
      </c>
      <c r="AF103" s="121">
        <f t="shared" si="9"/>
        <v>802.12499999999989</v>
      </c>
      <c r="AG103" s="122" t="str">
        <f>VLOOKUP(A103,'Çalışan Listesi'!A:G,6,0)</f>
        <v>TAKIM LİDERİ</v>
      </c>
    </row>
    <row r="104" spans="1:33" x14ac:dyDescent="0.2">
      <c r="A104" s="2">
        <v>3410</v>
      </c>
      <c r="B104" s="3" t="s">
        <v>140</v>
      </c>
      <c r="C104" s="4">
        <v>41680</v>
      </c>
      <c r="D104" s="5">
        <f t="shared" ref="D104:D142" si="11">IF($AI$2-C104&gt;=90,90,$AI$2-C104)</f>
        <v>90</v>
      </c>
      <c r="E104" s="6">
        <f t="shared" si="7"/>
        <v>1</v>
      </c>
      <c r="F104" s="25" t="s">
        <v>427</v>
      </c>
      <c r="G104" s="3" t="s">
        <v>141</v>
      </c>
      <c r="H104" s="106" t="str">
        <f>VLOOKUP(A104,'Çalışan Listesi'!A:G,7,0)</f>
        <v>3.KADEME</v>
      </c>
      <c r="I104" s="65">
        <f>IFERROR(VLOOKUP(A104,'Kaizen Listesi'!A:H,8,0),0)</f>
        <v>0</v>
      </c>
      <c r="J104" s="65">
        <f>I104*VLOOKUP($I$2,'Kriter Ağırlık'!$A$1:$B$8,2,0)</f>
        <v>0</v>
      </c>
      <c r="K104" s="65">
        <f>IFERROR(VLOOKUP(A104,'Hata Kartı '!A:H,8,0),0)</f>
        <v>66.666666666666671</v>
      </c>
      <c r="L104" s="65">
        <f>K104*(VLOOKUP($K$2,'Kriter Ağırlık'!$A$1:$B$8,2,0))</f>
        <v>6.6666666666666679</v>
      </c>
      <c r="M104" s="65">
        <f>IFERROR(VLOOKUP(F104,'5S'!$B$8:$E$19,4,0),0)</f>
        <v>1</v>
      </c>
      <c r="N104" s="65">
        <f>VLOOKUP(M104,'5S'!$G$8:$I$14,3,1)*VLOOKUP($M$2,'Kriter Ağırlık'!$A$1:$B$8,2,0)*E104*X104</f>
        <v>8</v>
      </c>
      <c r="O104" s="1">
        <f>IFERROR(VLOOKUP(A104,Devamsızlıklar!A:K,10,0),0)</f>
        <v>0</v>
      </c>
      <c r="P104" s="40">
        <f>VLOOKUP(O104,Aralıklar!$A$2:$C$5,3,1)*VLOOKUP($O$2,'Kriter Ağırlık'!$A$1:$B$8,2,0)*E104*X104</f>
        <v>10</v>
      </c>
      <c r="Q104" s="1">
        <f>IFERROR(VLOOKUP(A104,Devamsızlıklar!A:K,8,0),0)</f>
        <v>0</v>
      </c>
      <c r="R104" s="33">
        <f>VLOOKUP(Q104,Aralıklar!$E$2:$G$5,3,1)</f>
        <v>1</v>
      </c>
      <c r="S104" s="33">
        <f>IFERROR(VLOOKUP(A104,Devamsızlıklar!A:K,9,0),0)</f>
        <v>0</v>
      </c>
      <c r="T104" s="33">
        <f>VLOOKUP(S104,Aralıklar!$I$2:$K$6,3,1)</f>
        <v>50</v>
      </c>
      <c r="U104" s="33">
        <f>IFERROR(VLOOKUP(A104,Devamsızlıklar!A:K,11,0),0)</f>
        <v>0</v>
      </c>
      <c r="V104" s="33">
        <f>VLOOKUP(U104,Aralıklar!$M$2:$O$6,3,1)</f>
        <v>50</v>
      </c>
      <c r="W104" s="40">
        <f>IF(X104=0,0,(T104+V104)*R104*VLOOKUP($W$2,'Kriter Ağırlık'!$A$1:$B$8,2,1)*E104)</f>
        <v>10</v>
      </c>
      <c r="X104" s="40">
        <f>IFERROR(VLOOKUP(A104,Devamsızlıklar!A:M,13,0),1)</f>
        <v>1</v>
      </c>
      <c r="Y104" s="40">
        <f>(OEE!$K$6*VLOOKUP($Y$2,'Kriter Ağırlık'!$A$1:$B$8,2,1))*X104*E104</f>
        <v>35</v>
      </c>
      <c r="Z104" s="40">
        <f>(TELEF!$I$10*VLOOKUP($Z$2,'Kriter Ağırlık'!$A$1:$B$8,2,1))*X104*E104</f>
        <v>15</v>
      </c>
      <c r="AA104" s="40">
        <f t="shared" si="8"/>
        <v>84.666666666666671</v>
      </c>
      <c r="AB104" s="1">
        <v>4</v>
      </c>
      <c r="AC104" s="33">
        <f>VLOOKUP(AB104,'Kriter Ağırlık'!$A$12:$C$17,3,0)</f>
        <v>13.5</v>
      </c>
      <c r="AD104" s="1">
        <v>1</v>
      </c>
      <c r="AE104" s="33">
        <f>VLOOKUP(AD104,'Kriter Ağırlık'!$E$12:$G$24,3,0)</f>
        <v>1</v>
      </c>
      <c r="AF104" s="92">
        <f t="shared" si="9"/>
        <v>1143</v>
      </c>
      <c r="AG104" t="str">
        <f>VLOOKUP(A104,'Çalışan Listesi'!A:G,6,0)</f>
        <v>TAKIM LİDERİ YARDIMCISI</v>
      </c>
    </row>
    <row r="105" spans="1:33" x14ac:dyDescent="0.2">
      <c r="A105" s="2">
        <v>3412</v>
      </c>
      <c r="B105" s="3" t="s">
        <v>142</v>
      </c>
      <c r="C105" s="4">
        <v>41680</v>
      </c>
      <c r="D105" s="5">
        <f t="shared" si="11"/>
        <v>90</v>
      </c>
      <c r="E105" s="6">
        <f t="shared" si="7"/>
        <v>1</v>
      </c>
      <c r="F105" s="25" t="s">
        <v>424</v>
      </c>
      <c r="G105" s="3" t="s">
        <v>143</v>
      </c>
      <c r="H105" s="106" t="str">
        <f>VLOOKUP(A105,'Çalışan Listesi'!A:G,7,0)</f>
        <v>4.KADEME</v>
      </c>
      <c r="I105" s="65">
        <f>IFERROR(VLOOKUP(A105,'Kaizen Listesi'!A:H,8,0),0)</f>
        <v>66.666666666666671</v>
      </c>
      <c r="J105" s="65">
        <f>I105*VLOOKUP($I$2,'Kriter Ağırlık'!$A$1:$B$8,2,0)</f>
        <v>8</v>
      </c>
      <c r="K105" s="65">
        <f>IFERROR(VLOOKUP(A105,'Hata Kartı '!A:H,8,0),0)</f>
        <v>100</v>
      </c>
      <c r="L105" s="65">
        <f>K105*(VLOOKUP($K$2,'Kriter Ağırlık'!$A$1:$B$8,2,0))</f>
        <v>10</v>
      </c>
      <c r="M105" s="65">
        <f>IFERROR(VLOOKUP(F105,'5S'!$B$8:$E$19,4,0),0)</f>
        <v>1</v>
      </c>
      <c r="N105" s="65">
        <f>VLOOKUP(M105,'5S'!$G$8:$I$14,3,1)*VLOOKUP($M$2,'Kriter Ağırlık'!$A$1:$B$8,2,0)*E105*X105</f>
        <v>8</v>
      </c>
      <c r="O105" s="1">
        <f>IFERROR(VLOOKUP(A105,Devamsızlıklar!A:K,10,0),0)</f>
        <v>0</v>
      </c>
      <c r="P105" s="40">
        <f>VLOOKUP(O105,Aralıklar!$A$2:$C$5,3,1)*VLOOKUP($O$2,'Kriter Ağırlık'!$A$1:$B$8,2,0)*E105*X105</f>
        <v>10</v>
      </c>
      <c r="Q105" s="1">
        <f>IFERROR(VLOOKUP(A105,Devamsızlıklar!A:K,8,0),0)</f>
        <v>0</v>
      </c>
      <c r="R105" s="33">
        <f>VLOOKUP(Q105,Aralıklar!$E$2:$G$5,3,1)</f>
        <v>1</v>
      </c>
      <c r="S105" s="33">
        <f>IFERROR(VLOOKUP(A105,Devamsızlıklar!A:K,9,0),0)</f>
        <v>0</v>
      </c>
      <c r="T105" s="33">
        <f>VLOOKUP(S105,Aralıklar!$I$2:$K$6,3,1)</f>
        <v>50</v>
      </c>
      <c r="U105" s="33">
        <f>IFERROR(VLOOKUP(A105,Devamsızlıklar!A:K,11,0),0)</f>
        <v>0</v>
      </c>
      <c r="V105" s="33">
        <f>VLOOKUP(U105,Aralıklar!$M$2:$O$6,3,1)</f>
        <v>50</v>
      </c>
      <c r="W105" s="40">
        <f>IF(X105=0,0,(T105+V105)*R105*VLOOKUP($W$2,'Kriter Ağırlık'!$A$1:$B$8,2,1)*E105)</f>
        <v>10</v>
      </c>
      <c r="X105" s="40">
        <f>IFERROR(VLOOKUP(A105,Devamsızlıklar!A:M,13,0),1)</f>
        <v>1</v>
      </c>
      <c r="Y105" s="40">
        <f>(OEE!$K$6*VLOOKUP($Y$2,'Kriter Ağırlık'!$A$1:$B$8,2,1))*X105*E105</f>
        <v>35</v>
      </c>
      <c r="Z105" s="40">
        <f>(TELEF!$I$10*VLOOKUP($Z$2,'Kriter Ağırlık'!$A$1:$B$8,2,1))*X105*E105</f>
        <v>15</v>
      </c>
      <c r="AA105" s="40">
        <f t="shared" si="8"/>
        <v>96</v>
      </c>
      <c r="AB105" s="1">
        <v>5</v>
      </c>
      <c r="AC105" s="33">
        <f>VLOOKUP(AB105,'Kriter Ağırlık'!$A$12:$C$17,3,0)</f>
        <v>18.5</v>
      </c>
      <c r="AD105" s="1">
        <v>2</v>
      </c>
      <c r="AE105" s="33">
        <f>VLOOKUP(AD105,'Kriter Ağırlık'!$E$12:$G$24,3,0)</f>
        <v>1.232</v>
      </c>
      <c r="AF105" s="92">
        <f t="shared" si="9"/>
        <v>2188.0320000000002</v>
      </c>
      <c r="AG105" t="str">
        <f>VLOOKUP(A105,'Çalışan Listesi'!A:G,6,0)</f>
        <v>OPERATÖR</v>
      </c>
    </row>
    <row r="106" spans="1:33" x14ac:dyDescent="0.2">
      <c r="A106" s="2">
        <v>3438</v>
      </c>
      <c r="B106" s="3" t="s">
        <v>144</v>
      </c>
      <c r="C106" s="4">
        <v>41764</v>
      </c>
      <c r="D106" s="5">
        <f t="shared" si="11"/>
        <v>90</v>
      </c>
      <c r="E106" s="6">
        <f t="shared" si="7"/>
        <v>1</v>
      </c>
      <c r="F106" s="25" t="s">
        <v>422</v>
      </c>
      <c r="G106" s="3" t="s">
        <v>90</v>
      </c>
      <c r="H106" s="106" t="str">
        <f>VLOOKUP(A106,'Çalışan Listesi'!A:G,7,0)</f>
        <v>3.KADEME</v>
      </c>
      <c r="I106" s="65">
        <f>IFERROR(VLOOKUP(A106,'Kaizen Listesi'!A:H,8,0),0)</f>
        <v>0</v>
      </c>
      <c r="J106" s="65">
        <f>I106*VLOOKUP($I$2,'Kriter Ağırlık'!$A$1:$B$8,2,0)</f>
        <v>0</v>
      </c>
      <c r="K106" s="65">
        <f>IFERROR(VLOOKUP(A106,'Hata Kartı '!A:H,8,0),0)</f>
        <v>33.333333333333336</v>
      </c>
      <c r="L106" s="65">
        <f>K106*(VLOOKUP($K$2,'Kriter Ağırlık'!$A$1:$B$8,2,0))</f>
        <v>3.3333333333333339</v>
      </c>
      <c r="M106" s="65">
        <f>IFERROR(VLOOKUP(F106,'5S'!$B$8:$E$19,4,0),0)</f>
        <v>1</v>
      </c>
      <c r="N106" s="65">
        <f>VLOOKUP(M106,'5S'!$G$8:$I$14,3,1)*VLOOKUP($M$2,'Kriter Ağırlık'!$A$1:$B$8,2,0)*E106*X106</f>
        <v>7.822222222222222</v>
      </c>
      <c r="O106" s="1">
        <f>IFERROR(VLOOKUP(A106,Devamsızlıklar!A:K,10,0),0)</f>
        <v>0</v>
      </c>
      <c r="P106" s="40">
        <f>VLOOKUP(O106,Aralıklar!$A$2:$C$5,3,1)*VLOOKUP($O$2,'Kriter Ağırlık'!$A$1:$B$8,2,0)*E106*X106</f>
        <v>9.7777777777777768</v>
      </c>
      <c r="Q106" s="1">
        <f>IFERROR(VLOOKUP(A106,Devamsızlıklar!A:K,8,0),0)</f>
        <v>0</v>
      </c>
      <c r="R106" s="33">
        <f>VLOOKUP(Q106,Aralıklar!$E$2:$G$5,3,1)</f>
        <v>1</v>
      </c>
      <c r="S106" s="33">
        <f>IFERROR(VLOOKUP(A106,Devamsızlıklar!A:K,9,0),0)</f>
        <v>2</v>
      </c>
      <c r="T106" s="33">
        <f>VLOOKUP(S106,Aralıklar!$I$2:$K$6,3,1)</f>
        <v>50</v>
      </c>
      <c r="U106" s="33">
        <f>IFERROR(VLOOKUP(A106,Devamsızlıklar!A:K,11,0),0)</f>
        <v>0</v>
      </c>
      <c r="V106" s="33">
        <f>VLOOKUP(U106,Aralıklar!$M$2:$O$6,3,1)</f>
        <v>50</v>
      </c>
      <c r="W106" s="40">
        <f>IF(X106=0,0,(T106+V106)*R106*VLOOKUP($W$2,'Kriter Ağırlık'!$A$1:$B$8,2,1)*E106)</f>
        <v>10</v>
      </c>
      <c r="X106" s="40">
        <f>IFERROR(VLOOKUP(A106,Devamsızlıklar!A:M,13,0),1)</f>
        <v>0.97777777777777775</v>
      </c>
      <c r="Y106" s="40">
        <f>(OEE!$K$6*VLOOKUP($Y$2,'Kriter Ağırlık'!$A$1:$B$8,2,1))*X106*E106</f>
        <v>34.222222222222221</v>
      </c>
      <c r="Z106" s="40">
        <f>(TELEF!$I$10*VLOOKUP($Z$2,'Kriter Ağırlık'!$A$1:$B$8,2,1))*X106*E106</f>
        <v>14.666666666666666</v>
      </c>
      <c r="AA106" s="40">
        <f t="shared" si="8"/>
        <v>79.822222222222223</v>
      </c>
      <c r="AB106" s="1">
        <v>3</v>
      </c>
      <c r="AC106" s="33">
        <f>VLOOKUP(AB106,'Kriter Ağırlık'!$A$12:$C$17,3,0)</f>
        <v>0</v>
      </c>
      <c r="AD106" s="1">
        <v>3</v>
      </c>
      <c r="AE106" s="33">
        <f>VLOOKUP(AD106,'Kriter Ağırlık'!$E$12:$G$24,3,0)</f>
        <v>1.1499999999999999</v>
      </c>
      <c r="AF106" s="92">
        <f t="shared" si="9"/>
        <v>0</v>
      </c>
      <c r="AG106" t="str">
        <f>VLOOKUP(A106,'Çalışan Listesi'!A:G,6,0)</f>
        <v>TAKIM LİDERİ</v>
      </c>
    </row>
    <row r="107" spans="1:33" x14ac:dyDescent="0.2">
      <c r="A107" s="2">
        <v>3443</v>
      </c>
      <c r="B107" s="3" t="s">
        <v>145</v>
      </c>
      <c r="C107" s="4">
        <v>41772</v>
      </c>
      <c r="D107" s="5">
        <f t="shared" si="11"/>
        <v>90</v>
      </c>
      <c r="E107" s="6">
        <f t="shared" si="7"/>
        <v>1</v>
      </c>
      <c r="F107" s="25" t="s">
        <v>421</v>
      </c>
      <c r="G107" s="3" t="s">
        <v>61</v>
      </c>
      <c r="H107" s="106" t="str">
        <f>VLOOKUP(A107,'Çalışan Listesi'!A:G,7,0)</f>
        <v>3.KADEME</v>
      </c>
      <c r="I107" s="65">
        <f>IFERROR(VLOOKUP(A107,'Kaizen Listesi'!A:H,8,0),0)</f>
        <v>0</v>
      </c>
      <c r="J107" s="65">
        <f>I107*VLOOKUP($I$2,'Kriter Ağırlık'!$A$1:$B$8,2,0)</f>
        <v>0</v>
      </c>
      <c r="K107" s="65">
        <f>IFERROR(VLOOKUP(A107,'Hata Kartı '!A:H,8,0),0)</f>
        <v>16.666666666666668</v>
      </c>
      <c r="L107" s="65">
        <f>K107*(VLOOKUP($K$2,'Kriter Ağırlık'!$A$1:$B$8,2,0))</f>
        <v>1.666666666666667</v>
      </c>
      <c r="M107" s="65">
        <f>IFERROR(VLOOKUP(F107,'5S'!$B$8:$E$19,4,0),0)</f>
        <v>1</v>
      </c>
      <c r="N107" s="65">
        <f>VLOOKUP(M107,'5S'!$G$8:$I$14,3,1)*VLOOKUP($M$2,'Kriter Ağırlık'!$A$1:$B$8,2,0)*E107*X107</f>
        <v>8</v>
      </c>
      <c r="O107" s="1">
        <f>IFERROR(VLOOKUP(A107,Devamsızlıklar!A:K,10,0),0)</f>
        <v>0</v>
      </c>
      <c r="P107" s="40">
        <f>VLOOKUP(O107,Aralıklar!$A$2:$C$5,3,1)*VLOOKUP($O$2,'Kriter Ağırlık'!$A$1:$B$8,2,0)*E107*X107</f>
        <v>10</v>
      </c>
      <c r="Q107" s="1">
        <f>IFERROR(VLOOKUP(A107,Devamsızlıklar!A:K,8,0),0)</f>
        <v>0</v>
      </c>
      <c r="R107" s="33">
        <f>VLOOKUP(Q107,Aralıklar!$E$2:$G$5,3,1)</f>
        <v>1</v>
      </c>
      <c r="S107" s="33">
        <f>IFERROR(VLOOKUP(A107,Devamsızlıklar!A:K,9,0),0)</f>
        <v>0</v>
      </c>
      <c r="T107" s="33">
        <f>VLOOKUP(S107,Aralıklar!$I$2:$K$6,3,1)</f>
        <v>50</v>
      </c>
      <c r="U107" s="33">
        <f>IFERROR(VLOOKUP(A107,Devamsızlıklar!A:K,11,0),0)</f>
        <v>0</v>
      </c>
      <c r="V107" s="33">
        <f>VLOOKUP(U107,Aralıklar!$M$2:$O$6,3,1)</f>
        <v>50</v>
      </c>
      <c r="W107" s="40">
        <f>IF(X107=0,0,(T107+V107)*R107*VLOOKUP($W$2,'Kriter Ağırlık'!$A$1:$B$8,2,1)*E107)</f>
        <v>10</v>
      </c>
      <c r="X107" s="40">
        <f>IFERROR(VLOOKUP(A107,Devamsızlıklar!A:M,13,0),1)</f>
        <v>1</v>
      </c>
      <c r="Y107" s="40">
        <f>(OEE!$K$6*VLOOKUP($Y$2,'Kriter Ağırlık'!$A$1:$B$8,2,1))*X107*E107</f>
        <v>35</v>
      </c>
      <c r="Z107" s="40">
        <f>(TELEF!$I$10*VLOOKUP($Z$2,'Kriter Ağırlık'!$A$1:$B$8,2,1))*X107*E107</f>
        <v>15</v>
      </c>
      <c r="AA107" s="40">
        <f t="shared" si="8"/>
        <v>79.666666666666671</v>
      </c>
      <c r="AB107" s="1">
        <v>5</v>
      </c>
      <c r="AC107" s="33">
        <f>VLOOKUP(AB107,'Kriter Ağırlık'!$A$12:$C$17,3,0)</f>
        <v>18.5</v>
      </c>
      <c r="AD107" s="1">
        <v>3</v>
      </c>
      <c r="AE107" s="33">
        <f>VLOOKUP(AD107,'Kriter Ağırlık'!$E$12:$G$24,3,0)</f>
        <v>1.1499999999999999</v>
      </c>
      <c r="AF107" s="92">
        <f t="shared" si="9"/>
        <v>1694.9083333333333</v>
      </c>
      <c r="AG107" t="str">
        <f>VLOOKUP(A107,'Çalışan Listesi'!A:G,6,0)</f>
        <v>OPERATÖR</v>
      </c>
    </row>
    <row r="108" spans="1:33" x14ac:dyDescent="0.2">
      <c r="A108" s="2">
        <v>3458</v>
      </c>
      <c r="B108" s="3" t="s">
        <v>146</v>
      </c>
      <c r="C108" s="4">
        <v>41792</v>
      </c>
      <c r="D108" s="5">
        <f t="shared" si="11"/>
        <v>90</v>
      </c>
      <c r="E108" s="6">
        <f t="shared" si="7"/>
        <v>1</v>
      </c>
      <c r="F108" s="25" t="s">
        <v>422</v>
      </c>
      <c r="G108" s="3" t="s">
        <v>52</v>
      </c>
      <c r="H108" s="106" t="str">
        <f>VLOOKUP(A108,'Çalışan Listesi'!A:G,7,0)</f>
        <v>3.KADEME</v>
      </c>
      <c r="I108" s="65">
        <f>IFERROR(VLOOKUP(A108,'Kaizen Listesi'!A:H,8,0),0)</f>
        <v>0</v>
      </c>
      <c r="J108" s="65">
        <f>I108*VLOOKUP($I$2,'Kriter Ağırlık'!$A$1:$B$8,2,0)</f>
        <v>0</v>
      </c>
      <c r="K108" s="65">
        <f>IFERROR(VLOOKUP(A108,'Hata Kartı '!A:H,8,0),0)</f>
        <v>0</v>
      </c>
      <c r="L108" s="65">
        <f>K108*(VLOOKUP($K$2,'Kriter Ağırlık'!$A$1:$B$8,2,0))</f>
        <v>0</v>
      </c>
      <c r="M108" s="65">
        <f>IFERROR(VLOOKUP(F108,'5S'!$B$8:$E$19,4,0),0)</f>
        <v>1</v>
      </c>
      <c r="N108" s="65">
        <f>VLOOKUP(M108,'5S'!$G$8:$I$14,3,1)*VLOOKUP($M$2,'Kriter Ağırlık'!$A$1:$B$8,2,0)*E108*X108</f>
        <v>8</v>
      </c>
      <c r="O108" s="1">
        <f>IFERROR(VLOOKUP(A108,Devamsızlıklar!A:K,10,0),0)</f>
        <v>0</v>
      </c>
      <c r="P108" s="40">
        <f>VLOOKUP(O108,Aralıklar!$A$2:$C$5,3,1)*VLOOKUP($O$2,'Kriter Ağırlık'!$A$1:$B$8,2,0)*E108*X108</f>
        <v>10</v>
      </c>
      <c r="Q108" s="1">
        <f>IFERROR(VLOOKUP(A108,Devamsızlıklar!A:K,8,0),0)</f>
        <v>0</v>
      </c>
      <c r="R108" s="33">
        <f>VLOOKUP(Q108,Aralıklar!$E$2:$G$5,3,1)</f>
        <v>1</v>
      </c>
      <c r="S108" s="33">
        <f>IFERROR(VLOOKUP(A108,Devamsızlıklar!A:K,9,0),0)</f>
        <v>0</v>
      </c>
      <c r="T108" s="33">
        <f>VLOOKUP(S108,Aralıklar!$I$2:$K$6,3,1)</f>
        <v>50</v>
      </c>
      <c r="U108" s="33">
        <f>IFERROR(VLOOKUP(A108,Devamsızlıklar!A:K,11,0),0)</f>
        <v>0</v>
      </c>
      <c r="V108" s="33">
        <f>VLOOKUP(U108,Aralıklar!$M$2:$O$6,3,1)</f>
        <v>50</v>
      </c>
      <c r="W108" s="40">
        <f>IF(X108=0,0,(T108+V108)*R108*VLOOKUP($W$2,'Kriter Ağırlık'!$A$1:$B$8,2,1)*E108)</f>
        <v>10</v>
      </c>
      <c r="X108" s="40">
        <f>IFERROR(VLOOKUP(A108,Devamsızlıklar!A:M,13,0),1)</f>
        <v>1</v>
      </c>
      <c r="Y108" s="40">
        <f>(OEE!$K$6*VLOOKUP($Y$2,'Kriter Ağırlık'!$A$1:$B$8,2,1))*X108*E108</f>
        <v>35</v>
      </c>
      <c r="Z108" s="40">
        <f>(TELEF!$I$10*VLOOKUP($Z$2,'Kriter Ağırlık'!$A$1:$B$8,2,1))*X108*E108</f>
        <v>15</v>
      </c>
      <c r="AA108" s="40">
        <f t="shared" si="8"/>
        <v>78</v>
      </c>
      <c r="AB108" s="1">
        <v>5</v>
      </c>
      <c r="AC108" s="33">
        <f>VLOOKUP(AB108,'Kriter Ağırlık'!$A$12:$C$17,3,0)</f>
        <v>18.5</v>
      </c>
      <c r="AD108" s="1">
        <v>3</v>
      </c>
      <c r="AE108" s="33">
        <f>VLOOKUP(AD108,'Kriter Ağırlık'!$E$12:$G$24,3,0)</f>
        <v>1.1499999999999999</v>
      </c>
      <c r="AF108" s="92">
        <f t="shared" si="9"/>
        <v>1659.4499999999998</v>
      </c>
      <c r="AG108" t="str">
        <f>VLOOKUP(A108,'Çalışan Listesi'!A:G,6,0)</f>
        <v>OPERATÖR</v>
      </c>
    </row>
    <row r="109" spans="1:33" x14ac:dyDescent="0.2">
      <c r="A109" s="2">
        <v>3463</v>
      </c>
      <c r="B109" s="3" t="s">
        <v>147</v>
      </c>
      <c r="C109" s="4">
        <v>41799</v>
      </c>
      <c r="D109" s="5">
        <f t="shared" si="11"/>
        <v>90</v>
      </c>
      <c r="E109" s="6">
        <f t="shared" si="7"/>
        <v>1</v>
      </c>
      <c r="F109" s="25" t="s">
        <v>423</v>
      </c>
      <c r="G109" s="3" t="s">
        <v>148</v>
      </c>
      <c r="H109" s="106" t="str">
        <f>VLOOKUP(A109,'Çalışan Listesi'!A:G,7,0)</f>
        <v>3.KADEME</v>
      </c>
      <c r="I109" s="65">
        <f>IFERROR(VLOOKUP(A109,'Kaizen Listesi'!A:H,8,0),0)</f>
        <v>0</v>
      </c>
      <c r="J109" s="65">
        <f>I109*VLOOKUP($I$2,'Kriter Ağırlık'!$A$1:$B$8,2,0)</f>
        <v>0</v>
      </c>
      <c r="K109" s="65">
        <f>IFERROR(VLOOKUP(A109,'Hata Kartı '!A:H,8,0),0)</f>
        <v>0</v>
      </c>
      <c r="L109" s="65">
        <f>K109*(VLOOKUP($K$2,'Kriter Ağırlık'!$A$1:$B$8,2,0))</f>
        <v>0</v>
      </c>
      <c r="M109" s="65">
        <f>IFERROR(VLOOKUP(F109,'5S'!$B$8:$E$19,4,0),0)</f>
        <v>1</v>
      </c>
      <c r="N109" s="65">
        <f>VLOOKUP(M109,'5S'!$G$8:$I$14,3,1)*VLOOKUP($M$2,'Kriter Ağırlık'!$A$1:$B$8,2,0)*E109*X109</f>
        <v>8</v>
      </c>
      <c r="O109" s="1">
        <f>IFERROR(VLOOKUP(A109,Devamsızlıklar!A:K,10,0),0)</f>
        <v>0</v>
      </c>
      <c r="P109" s="40">
        <f>VLOOKUP(O109,Aralıklar!$A$2:$C$5,3,1)*VLOOKUP($O$2,'Kriter Ağırlık'!$A$1:$B$8,2,0)*E109*X109</f>
        <v>10</v>
      </c>
      <c r="Q109" s="1">
        <f>IFERROR(VLOOKUP(A109,Devamsızlıklar!A:K,8,0),0)</f>
        <v>0</v>
      </c>
      <c r="R109" s="33">
        <f>VLOOKUP(Q109,Aralıklar!$E$2:$G$5,3,1)</f>
        <v>1</v>
      </c>
      <c r="S109" s="33">
        <f>IFERROR(VLOOKUP(A109,Devamsızlıklar!A:K,9,0),0)</f>
        <v>0</v>
      </c>
      <c r="T109" s="33">
        <f>VLOOKUP(S109,Aralıklar!$I$2:$K$6,3,1)</f>
        <v>50</v>
      </c>
      <c r="U109" s="33">
        <f>IFERROR(VLOOKUP(A109,Devamsızlıklar!A:K,11,0),0)</f>
        <v>0</v>
      </c>
      <c r="V109" s="33">
        <f>VLOOKUP(U109,Aralıklar!$M$2:$O$6,3,1)</f>
        <v>50</v>
      </c>
      <c r="W109" s="40">
        <f>IF(X109=0,0,(T109+V109)*R109*VLOOKUP($W$2,'Kriter Ağırlık'!$A$1:$B$8,2,1)*E109)</f>
        <v>10</v>
      </c>
      <c r="X109" s="40">
        <f>IFERROR(VLOOKUP(A109,Devamsızlıklar!A:M,13,0),1)</f>
        <v>1</v>
      </c>
      <c r="Y109" s="40">
        <f>(OEE!$K$6*VLOOKUP($Y$2,'Kriter Ağırlık'!$A$1:$B$8,2,1))*X109*E109</f>
        <v>35</v>
      </c>
      <c r="Z109" s="40">
        <f>(TELEF!$I$10*VLOOKUP($Z$2,'Kriter Ağırlık'!$A$1:$B$8,2,1))*X109*E109</f>
        <v>15</v>
      </c>
      <c r="AA109" s="40">
        <f t="shared" si="8"/>
        <v>78</v>
      </c>
      <c r="AB109" s="1">
        <v>3</v>
      </c>
      <c r="AC109" s="33">
        <f>VLOOKUP(AB109,'Kriter Ağırlık'!$A$12:$C$17,3,0)</f>
        <v>0</v>
      </c>
      <c r="AD109" s="1">
        <v>7</v>
      </c>
      <c r="AE109" s="33">
        <f>VLOOKUP(AD109,'Kriter Ağırlık'!$E$12:$G$24,3,0)</f>
        <v>1.19</v>
      </c>
      <c r="AF109" s="92">
        <f t="shared" si="9"/>
        <v>0</v>
      </c>
      <c r="AG109" t="str">
        <f>VLOOKUP(A109,'Çalışan Listesi'!A:G,6,0)</f>
        <v>TAKIM LİDERİ</v>
      </c>
    </row>
    <row r="110" spans="1:33" x14ac:dyDescent="0.2">
      <c r="A110" s="2">
        <v>3468</v>
      </c>
      <c r="B110" s="3" t="s">
        <v>149</v>
      </c>
      <c r="C110" s="4">
        <v>41813</v>
      </c>
      <c r="D110" s="5">
        <f t="shared" si="11"/>
        <v>90</v>
      </c>
      <c r="E110" s="6">
        <f t="shared" si="7"/>
        <v>1</v>
      </c>
      <c r="F110" s="25" t="s">
        <v>431</v>
      </c>
      <c r="G110" s="3" t="s">
        <v>125</v>
      </c>
      <c r="H110" s="106" t="str">
        <f>VLOOKUP(A110,'Çalışan Listesi'!A:G,7,0)</f>
        <v>3.KADEME</v>
      </c>
      <c r="I110" s="65">
        <f>IFERROR(VLOOKUP(A110,'Kaizen Listesi'!A:H,8,0),0)</f>
        <v>0</v>
      </c>
      <c r="J110" s="65">
        <f>I110*VLOOKUP($I$2,'Kriter Ağırlık'!$A$1:$B$8,2,0)</f>
        <v>0</v>
      </c>
      <c r="K110" s="65">
        <f>IFERROR(VLOOKUP(A110,'Hata Kartı '!A:H,8,0),0)</f>
        <v>0</v>
      </c>
      <c r="L110" s="65">
        <f>K110*(VLOOKUP($K$2,'Kriter Ağırlık'!$A$1:$B$8,2,0))</f>
        <v>0</v>
      </c>
      <c r="M110" s="65">
        <f>IFERROR(VLOOKUP(F110,'5S'!$B$8:$E$19,4,0),0)</f>
        <v>1</v>
      </c>
      <c r="N110" s="65">
        <f>VLOOKUP(M110,'5S'!$G$8:$I$14,3,1)*VLOOKUP($M$2,'Kriter Ağırlık'!$A$1:$B$8,2,0)*E110*X110</f>
        <v>8</v>
      </c>
      <c r="O110" s="1">
        <f>IFERROR(VLOOKUP(A110,Devamsızlıklar!A:K,10,0),0)</f>
        <v>0</v>
      </c>
      <c r="P110" s="40">
        <f>VLOOKUP(O110,Aralıklar!$A$2:$C$5,3,1)*VLOOKUP($O$2,'Kriter Ağırlık'!$A$1:$B$8,2,0)*E110*X110</f>
        <v>10</v>
      </c>
      <c r="Q110" s="1">
        <f>IFERROR(VLOOKUP(A110,Devamsızlıklar!A:K,8,0),0)</f>
        <v>0</v>
      </c>
      <c r="R110" s="33">
        <f>VLOOKUP(Q110,Aralıklar!$E$2:$G$5,3,1)</f>
        <v>1</v>
      </c>
      <c r="S110" s="33">
        <f>IFERROR(VLOOKUP(A110,Devamsızlıklar!A:K,9,0),0)</f>
        <v>0</v>
      </c>
      <c r="T110" s="33">
        <f>VLOOKUP(S110,Aralıklar!$I$2:$K$6,3,1)</f>
        <v>50</v>
      </c>
      <c r="U110" s="33">
        <f>IFERROR(VLOOKUP(A110,Devamsızlıklar!A:K,11,0),0)</f>
        <v>0</v>
      </c>
      <c r="V110" s="33">
        <f>VLOOKUP(U110,Aralıklar!$M$2:$O$6,3,1)</f>
        <v>50</v>
      </c>
      <c r="W110" s="40">
        <f>IF(X110=0,0,(T110+V110)*R110*VLOOKUP($W$2,'Kriter Ağırlık'!$A$1:$B$8,2,1)*E110)</f>
        <v>10</v>
      </c>
      <c r="X110" s="40">
        <f>IFERROR(VLOOKUP(A110,Devamsızlıklar!A:M,13,0),1)</f>
        <v>1</v>
      </c>
      <c r="Y110" s="40">
        <f>(OEE!$K$6*VLOOKUP($Y$2,'Kriter Ağırlık'!$A$1:$B$8,2,1))*X110*E110</f>
        <v>35</v>
      </c>
      <c r="Z110" s="40">
        <f>(TELEF!$I$10*VLOOKUP($Z$2,'Kriter Ağırlık'!$A$1:$B$8,2,1))*X110*E110</f>
        <v>15</v>
      </c>
      <c r="AA110" s="40">
        <f t="shared" si="8"/>
        <v>78</v>
      </c>
      <c r="AB110" s="1">
        <v>5</v>
      </c>
      <c r="AC110" s="33">
        <f>VLOOKUP(AB110,'Kriter Ağırlık'!$A$12:$C$17,3,0)</f>
        <v>18.5</v>
      </c>
      <c r="AD110" s="1">
        <v>3</v>
      </c>
      <c r="AE110" s="33">
        <f>VLOOKUP(AD110,'Kriter Ağırlık'!$E$12:$G$24,3,0)</f>
        <v>1.1499999999999999</v>
      </c>
      <c r="AF110" s="92">
        <f t="shared" si="9"/>
        <v>1659.4499999999998</v>
      </c>
      <c r="AG110" t="str">
        <f>VLOOKUP(A110,'Çalışan Listesi'!A:G,6,0)</f>
        <v>OPERATÖR</v>
      </c>
    </row>
    <row r="111" spans="1:33" x14ac:dyDescent="0.2">
      <c r="A111" s="2">
        <v>3482</v>
      </c>
      <c r="B111" s="3" t="s">
        <v>150</v>
      </c>
      <c r="C111" s="4">
        <v>41841</v>
      </c>
      <c r="D111" s="5">
        <f t="shared" si="11"/>
        <v>90</v>
      </c>
      <c r="E111" s="6">
        <f t="shared" si="7"/>
        <v>1</v>
      </c>
      <c r="F111" s="25" t="s">
        <v>421</v>
      </c>
      <c r="G111" s="3" t="s">
        <v>61</v>
      </c>
      <c r="H111" s="106" t="str">
        <f>VLOOKUP(A111,'Çalışan Listesi'!A:G,7,0)</f>
        <v>3.KADEME</v>
      </c>
      <c r="I111" s="65">
        <f>IFERROR(VLOOKUP(A111,'Kaizen Listesi'!A:H,8,0),0)</f>
        <v>0</v>
      </c>
      <c r="J111" s="65">
        <f>I111*VLOOKUP($I$2,'Kriter Ağırlık'!$A$1:$B$8,2,0)</f>
        <v>0</v>
      </c>
      <c r="K111" s="65">
        <f>IFERROR(VLOOKUP(A111,'Hata Kartı '!A:H,8,0),0)</f>
        <v>16.666666666666668</v>
      </c>
      <c r="L111" s="65">
        <f>K111*(VLOOKUP($K$2,'Kriter Ağırlık'!$A$1:$B$8,2,0))</f>
        <v>1.666666666666667</v>
      </c>
      <c r="M111" s="65">
        <f>IFERROR(VLOOKUP(F111,'5S'!$B$8:$E$19,4,0),0)</f>
        <v>1</v>
      </c>
      <c r="N111" s="65">
        <f>VLOOKUP(M111,'5S'!$G$8:$I$14,3,1)*VLOOKUP($M$2,'Kriter Ağırlık'!$A$1:$B$8,2,0)*E111*X111</f>
        <v>7.4666666666666668</v>
      </c>
      <c r="O111" s="1">
        <f>IFERROR(VLOOKUP(A111,Devamsızlıklar!A:K,10,0),0)</f>
        <v>0</v>
      </c>
      <c r="P111" s="40">
        <f>VLOOKUP(O111,Aralıklar!$A$2:$C$5,3,1)*VLOOKUP($O$2,'Kriter Ağırlık'!$A$1:$B$8,2,0)*E111*X111</f>
        <v>9.3333333333333339</v>
      </c>
      <c r="Q111" s="1">
        <f>IFERROR(VLOOKUP(A111,Devamsızlıklar!A:K,8,0),0)</f>
        <v>0</v>
      </c>
      <c r="R111" s="33">
        <f>VLOOKUP(Q111,Aralıklar!$E$2:$G$5,3,1)</f>
        <v>1</v>
      </c>
      <c r="S111" s="33">
        <f>IFERROR(VLOOKUP(A111,Devamsızlıklar!A:K,9,0),0)</f>
        <v>0</v>
      </c>
      <c r="T111" s="33">
        <f>VLOOKUP(S111,Aralıklar!$I$2:$K$6,3,1)</f>
        <v>50</v>
      </c>
      <c r="U111" s="33">
        <f>IFERROR(VLOOKUP(A111,Devamsızlıklar!A:K,11,0),0)</f>
        <v>0</v>
      </c>
      <c r="V111" s="33">
        <f>VLOOKUP(U111,Aralıklar!$M$2:$O$6,3,1)</f>
        <v>50</v>
      </c>
      <c r="W111" s="40">
        <f>IF(X111=0,0,(T111+V111)*R111*VLOOKUP($W$2,'Kriter Ağırlık'!$A$1:$B$8,2,1)*E111)</f>
        <v>10</v>
      </c>
      <c r="X111" s="40">
        <f>IFERROR(VLOOKUP(A111,Devamsızlıklar!A:M,13,0),1)</f>
        <v>0.93333333333333335</v>
      </c>
      <c r="Y111" s="40">
        <f>(OEE!$K$6*VLOOKUP($Y$2,'Kriter Ağırlık'!$A$1:$B$8,2,1))*X111*E111</f>
        <v>32.666666666666664</v>
      </c>
      <c r="Z111" s="40">
        <f>(TELEF!$I$10*VLOOKUP($Z$2,'Kriter Ağırlık'!$A$1:$B$8,2,1))*X111*E111</f>
        <v>14</v>
      </c>
      <c r="AA111" s="40">
        <f t="shared" si="8"/>
        <v>75.133333333333326</v>
      </c>
      <c r="AB111" s="1">
        <v>5</v>
      </c>
      <c r="AC111" s="33">
        <f>VLOOKUP(AB111,'Kriter Ağırlık'!$A$12:$C$17,3,0)</f>
        <v>18.5</v>
      </c>
      <c r="AD111" s="1">
        <v>3</v>
      </c>
      <c r="AE111" s="33">
        <f>VLOOKUP(AD111,'Kriter Ağırlık'!$E$12:$G$24,3,0)</f>
        <v>1.1499999999999999</v>
      </c>
      <c r="AF111" s="92">
        <f t="shared" si="9"/>
        <v>1598.4616666666664</v>
      </c>
      <c r="AG111" t="str">
        <f>VLOOKUP(A111,'Çalışan Listesi'!A:G,6,0)</f>
        <v>OPERATÖR</v>
      </c>
    </row>
    <row r="112" spans="1:33" x14ac:dyDescent="0.2">
      <c r="A112" s="2">
        <v>3486</v>
      </c>
      <c r="B112" s="3" t="s">
        <v>151</v>
      </c>
      <c r="C112" s="4">
        <v>41855</v>
      </c>
      <c r="D112" s="5">
        <f t="shared" si="11"/>
        <v>90</v>
      </c>
      <c r="E112" s="6">
        <f t="shared" si="7"/>
        <v>1</v>
      </c>
      <c r="F112" s="25" t="s">
        <v>423</v>
      </c>
      <c r="G112" s="3" t="s">
        <v>102</v>
      </c>
      <c r="H112" s="106" t="str">
        <f>VLOOKUP(A112,'Çalışan Listesi'!A:G,7,0)</f>
        <v>3.KADEME</v>
      </c>
      <c r="I112" s="65">
        <f>IFERROR(VLOOKUP(A112,'Kaizen Listesi'!A:H,8,0),0)</f>
        <v>0</v>
      </c>
      <c r="J112" s="65">
        <f>I112*VLOOKUP($I$2,'Kriter Ağırlık'!$A$1:$B$8,2,0)</f>
        <v>0</v>
      </c>
      <c r="K112" s="65">
        <f>IFERROR(VLOOKUP(A112,'Hata Kartı '!A:H,8,0),0)</f>
        <v>66.666666666666671</v>
      </c>
      <c r="L112" s="65">
        <f>K112*(VLOOKUP($K$2,'Kriter Ağırlık'!$A$1:$B$8,2,0))</f>
        <v>6.6666666666666679</v>
      </c>
      <c r="M112" s="65">
        <f>IFERROR(VLOOKUP(F112,'5S'!$B$8:$E$19,4,0),0)</f>
        <v>1</v>
      </c>
      <c r="N112" s="65">
        <f>VLOOKUP(M112,'5S'!$G$8:$I$14,3,1)*VLOOKUP($M$2,'Kriter Ağırlık'!$A$1:$B$8,2,0)*E112*X112</f>
        <v>8</v>
      </c>
      <c r="O112" s="1">
        <f>IFERROR(VLOOKUP(A112,Devamsızlıklar!A:K,10,0),0)</f>
        <v>0</v>
      </c>
      <c r="P112" s="40">
        <f>VLOOKUP(O112,Aralıklar!$A$2:$C$5,3,1)*VLOOKUP($O$2,'Kriter Ağırlık'!$A$1:$B$8,2,0)*E112*X112</f>
        <v>10</v>
      </c>
      <c r="Q112" s="1">
        <f>IFERROR(VLOOKUP(A112,Devamsızlıklar!A:K,8,0),0)</f>
        <v>0</v>
      </c>
      <c r="R112" s="33">
        <f>VLOOKUP(Q112,Aralıklar!$E$2:$G$5,3,1)</f>
        <v>1</v>
      </c>
      <c r="S112" s="33">
        <f>IFERROR(VLOOKUP(A112,Devamsızlıklar!A:K,9,0),0)</f>
        <v>0</v>
      </c>
      <c r="T112" s="33">
        <f>VLOOKUP(S112,Aralıklar!$I$2:$K$6,3,1)</f>
        <v>50</v>
      </c>
      <c r="U112" s="33">
        <f>IFERROR(VLOOKUP(A112,Devamsızlıklar!A:K,11,0),0)</f>
        <v>0</v>
      </c>
      <c r="V112" s="33">
        <f>VLOOKUP(U112,Aralıklar!$M$2:$O$6,3,1)</f>
        <v>50</v>
      </c>
      <c r="W112" s="40">
        <f>IF(X112=0,0,(T112+V112)*R112*VLOOKUP($W$2,'Kriter Ağırlık'!$A$1:$B$8,2,1)*E112)</f>
        <v>10</v>
      </c>
      <c r="X112" s="40">
        <f>IFERROR(VLOOKUP(A112,Devamsızlıklar!A:M,13,0),1)</f>
        <v>1</v>
      </c>
      <c r="Y112" s="40">
        <f>(OEE!$K$6*VLOOKUP($Y$2,'Kriter Ağırlık'!$A$1:$B$8,2,1))*X112*E112</f>
        <v>35</v>
      </c>
      <c r="Z112" s="40">
        <f>(TELEF!$I$10*VLOOKUP($Z$2,'Kriter Ağırlık'!$A$1:$B$8,2,1))*X112*E112</f>
        <v>15</v>
      </c>
      <c r="AA112" s="40">
        <f t="shared" si="8"/>
        <v>84.666666666666671</v>
      </c>
      <c r="AB112" s="1">
        <v>5</v>
      </c>
      <c r="AC112" s="33">
        <f>VLOOKUP(AB112,'Kriter Ağırlık'!$A$12:$C$17,3,0)</f>
        <v>18.5</v>
      </c>
      <c r="AD112" s="1">
        <v>7</v>
      </c>
      <c r="AE112" s="33">
        <f>VLOOKUP(AD112,'Kriter Ağırlık'!$E$12:$G$24,3,0)</f>
        <v>1.19</v>
      </c>
      <c r="AF112" s="92">
        <f t="shared" si="9"/>
        <v>1863.9366666666667</v>
      </c>
      <c r="AG112" t="str">
        <f>VLOOKUP(A112,'Çalışan Listesi'!A:G,6,0)</f>
        <v>TEKNİSYEN</v>
      </c>
    </row>
    <row r="113" spans="1:33" x14ac:dyDescent="0.2">
      <c r="A113" s="2">
        <v>3502</v>
      </c>
      <c r="B113" s="3" t="s">
        <v>152</v>
      </c>
      <c r="C113" s="4">
        <v>41862</v>
      </c>
      <c r="D113" s="5">
        <f t="shared" si="11"/>
        <v>90</v>
      </c>
      <c r="E113" s="6">
        <f t="shared" si="7"/>
        <v>1</v>
      </c>
      <c r="F113" s="25" t="s">
        <v>421</v>
      </c>
      <c r="G113" s="3" t="s">
        <v>61</v>
      </c>
      <c r="H113" s="106" t="str">
        <f>VLOOKUP(A113,'Çalışan Listesi'!A:G,7,0)</f>
        <v>3.KADEME</v>
      </c>
      <c r="I113" s="65">
        <f>IFERROR(VLOOKUP(A113,'Kaizen Listesi'!A:H,8,0),0)</f>
        <v>0</v>
      </c>
      <c r="J113" s="65">
        <f>I113*VLOOKUP($I$2,'Kriter Ağırlık'!$A$1:$B$8,2,0)</f>
        <v>0</v>
      </c>
      <c r="K113" s="65">
        <f>IFERROR(VLOOKUP(A113,'Hata Kartı '!A:H,8,0),0)</f>
        <v>66.666666666666671</v>
      </c>
      <c r="L113" s="65">
        <f>K113*(VLOOKUP($K$2,'Kriter Ağırlık'!$A$1:$B$8,2,0))</f>
        <v>6.6666666666666679</v>
      </c>
      <c r="M113" s="65">
        <f>IFERROR(VLOOKUP(F113,'5S'!$B$8:$E$19,4,0),0)</f>
        <v>1</v>
      </c>
      <c r="N113" s="65">
        <f>VLOOKUP(M113,'5S'!$G$8:$I$14,3,1)*VLOOKUP($M$2,'Kriter Ağırlık'!$A$1:$B$8,2,0)*E113*X113</f>
        <v>8</v>
      </c>
      <c r="O113" s="1">
        <f>IFERROR(VLOOKUP(A113,Devamsızlıklar!A:K,10,0),0)</f>
        <v>0</v>
      </c>
      <c r="P113" s="40">
        <f>VLOOKUP(O113,Aralıklar!$A$2:$C$5,3,1)*VLOOKUP($O$2,'Kriter Ağırlık'!$A$1:$B$8,2,0)*E113*X113</f>
        <v>10</v>
      </c>
      <c r="Q113" s="1">
        <f>IFERROR(VLOOKUP(A113,Devamsızlıklar!A:K,8,0),0)</f>
        <v>0</v>
      </c>
      <c r="R113" s="33">
        <f>VLOOKUP(Q113,Aralıklar!$E$2:$G$5,3,1)</f>
        <v>1</v>
      </c>
      <c r="S113" s="33">
        <f>IFERROR(VLOOKUP(A113,Devamsızlıklar!A:K,9,0),0)</f>
        <v>0</v>
      </c>
      <c r="T113" s="33">
        <f>VLOOKUP(S113,Aralıklar!$I$2:$K$6,3,1)</f>
        <v>50</v>
      </c>
      <c r="U113" s="33">
        <f>IFERROR(VLOOKUP(A113,Devamsızlıklar!A:K,11,0),0)</f>
        <v>0</v>
      </c>
      <c r="V113" s="33">
        <f>VLOOKUP(U113,Aralıklar!$M$2:$O$6,3,1)</f>
        <v>50</v>
      </c>
      <c r="W113" s="40">
        <f>IF(X113=0,0,(T113+V113)*R113*VLOOKUP($W$2,'Kriter Ağırlık'!$A$1:$B$8,2,1)*E113)</f>
        <v>10</v>
      </c>
      <c r="X113" s="40">
        <f>IFERROR(VLOOKUP(A113,Devamsızlıklar!A:M,13,0),1)</f>
        <v>1</v>
      </c>
      <c r="Y113" s="40">
        <f>(OEE!$K$6*VLOOKUP($Y$2,'Kriter Ağırlık'!$A$1:$B$8,2,1))*X113*E113</f>
        <v>35</v>
      </c>
      <c r="Z113" s="40">
        <f>(TELEF!$I$10*VLOOKUP($Z$2,'Kriter Ağırlık'!$A$1:$B$8,2,1))*X113*E113</f>
        <v>15</v>
      </c>
      <c r="AA113" s="40">
        <f t="shared" si="8"/>
        <v>84.666666666666671</v>
      </c>
      <c r="AB113" s="1">
        <v>5</v>
      </c>
      <c r="AC113" s="33">
        <f>VLOOKUP(AB113,'Kriter Ağırlık'!$A$12:$C$17,3,0)</f>
        <v>18.5</v>
      </c>
      <c r="AD113" s="1">
        <v>3</v>
      </c>
      <c r="AE113" s="33">
        <f>VLOOKUP(AD113,'Kriter Ağırlık'!$E$12:$G$24,3,0)</f>
        <v>1.1499999999999999</v>
      </c>
      <c r="AF113" s="92">
        <f t="shared" si="9"/>
        <v>1801.2833333333333</v>
      </c>
      <c r="AG113" t="str">
        <f>VLOOKUP(A113,'Çalışan Listesi'!A:G,6,0)</f>
        <v>OPERATÖR</v>
      </c>
    </row>
    <row r="114" spans="1:33" x14ac:dyDescent="0.2">
      <c r="A114" s="2">
        <v>3522</v>
      </c>
      <c r="B114" s="3" t="s">
        <v>153</v>
      </c>
      <c r="C114" s="4">
        <v>41904</v>
      </c>
      <c r="D114" s="5">
        <f t="shared" si="11"/>
        <v>90</v>
      </c>
      <c r="E114" s="6">
        <f t="shared" si="7"/>
        <v>1</v>
      </c>
      <c r="F114" s="25" t="s">
        <v>429</v>
      </c>
      <c r="G114" s="3" t="s">
        <v>46</v>
      </c>
      <c r="H114" s="106" t="str">
        <f>VLOOKUP(A114,'Çalışan Listesi'!A:G,7,0)</f>
        <v>3.KADEME</v>
      </c>
      <c r="I114" s="65">
        <f>IFERROR(VLOOKUP(A114,'Kaizen Listesi'!A:H,8,0),0)</f>
        <v>0</v>
      </c>
      <c r="J114" s="65">
        <f>I114*VLOOKUP($I$2,'Kriter Ağırlık'!$A$1:$B$8,2,0)</f>
        <v>0</v>
      </c>
      <c r="K114" s="65">
        <f>IFERROR(VLOOKUP(A114,'Hata Kartı '!A:H,8,0),0)</f>
        <v>33.333333333333336</v>
      </c>
      <c r="L114" s="65">
        <f>K114*(VLOOKUP($K$2,'Kriter Ağırlık'!$A$1:$B$8,2,0))</f>
        <v>3.3333333333333339</v>
      </c>
      <c r="M114" s="65">
        <f>IFERROR(VLOOKUP(F114,'5S'!$B$8:$E$19,4,0),0)</f>
        <v>1</v>
      </c>
      <c r="N114" s="65">
        <f>VLOOKUP(M114,'5S'!$G$8:$I$14,3,1)*VLOOKUP($M$2,'Kriter Ağırlık'!$A$1:$B$8,2,0)*E114*X114</f>
        <v>8</v>
      </c>
      <c r="O114" s="1">
        <f>IFERROR(VLOOKUP(A114,Devamsızlıklar!A:K,10,0),0)</f>
        <v>0</v>
      </c>
      <c r="P114" s="40">
        <f>VLOOKUP(O114,Aralıklar!$A$2:$C$5,3,1)*VLOOKUP($O$2,'Kriter Ağırlık'!$A$1:$B$8,2,0)*E114*X114</f>
        <v>10</v>
      </c>
      <c r="Q114" s="1">
        <f>IFERROR(VLOOKUP(A114,Devamsızlıklar!A:K,8,0),0)</f>
        <v>0</v>
      </c>
      <c r="R114" s="33">
        <f>VLOOKUP(Q114,Aralıklar!$E$2:$G$5,3,1)</f>
        <v>1</v>
      </c>
      <c r="S114" s="33">
        <f>IFERROR(VLOOKUP(A114,Devamsızlıklar!A:K,9,0),0)</f>
        <v>0</v>
      </c>
      <c r="T114" s="33">
        <f>VLOOKUP(S114,Aralıklar!$I$2:$K$6,3,1)</f>
        <v>50</v>
      </c>
      <c r="U114" s="33">
        <f>IFERROR(VLOOKUP(A114,Devamsızlıklar!A:K,11,0),0)</f>
        <v>0</v>
      </c>
      <c r="V114" s="33">
        <f>VLOOKUP(U114,Aralıklar!$M$2:$O$6,3,1)</f>
        <v>50</v>
      </c>
      <c r="W114" s="40">
        <f>IF(X114=0,0,(T114+V114)*R114*VLOOKUP($W$2,'Kriter Ağırlık'!$A$1:$B$8,2,1)*E114)</f>
        <v>10</v>
      </c>
      <c r="X114" s="40">
        <f>IFERROR(VLOOKUP(A114,Devamsızlıklar!A:M,13,0),1)</f>
        <v>1</v>
      </c>
      <c r="Y114" s="40">
        <f>(OEE!$K$6*VLOOKUP($Y$2,'Kriter Ağırlık'!$A$1:$B$8,2,1))*X114*E114</f>
        <v>35</v>
      </c>
      <c r="Z114" s="40">
        <f>(TELEF!$I$10*VLOOKUP($Z$2,'Kriter Ağırlık'!$A$1:$B$8,2,1))*X114*E114</f>
        <v>15</v>
      </c>
      <c r="AA114" s="40">
        <f t="shared" si="8"/>
        <v>81.333333333333343</v>
      </c>
      <c r="AB114" s="1">
        <v>5</v>
      </c>
      <c r="AC114" s="33">
        <f>VLOOKUP(AB114,'Kriter Ağırlık'!$A$12:$C$17,3,0)</f>
        <v>18.5</v>
      </c>
      <c r="AD114" s="1">
        <v>3</v>
      </c>
      <c r="AE114" s="33">
        <f>VLOOKUP(AD114,'Kriter Ağırlık'!$E$12:$G$24,3,0)</f>
        <v>1.1499999999999999</v>
      </c>
      <c r="AF114" s="92">
        <f t="shared" si="9"/>
        <v>1730.3666666666666</v>
      </c>
      <c r="AG114" t="str">
        <f>VLOOKUP(A114,'Çalışan Listesi'!A:G,6,0)</f>
        <v>OPERATÖR</v>
      </c>
    </row>
    <row r="115" spans="1:33" x14ac:dyDescent="0.2">
      <c r="A115" s="2">
        <v>3549</v>
      </c>
      <c r="B115" s="3" t="s">
        <v>154</v>
      </c>
      <c r="C115" s="4">
        <v>41939</v>
      </c>
      <c r="D115" s="5">
        <f t="shared" si="11"/>
        <v>90</v>
      </c>
      <c r="E115" s="6">
        <f t="shared" si="7"/>
        <v>1</v>
      </c>
      <c r="F115" s="25" t="s">
        <v>431</v>
      </c>
      <c r="G115" s="3" t="s">
        <v>106</v>
      </c>
      <c r="H115" s="106" t="str">
        <f>VLOOKUP(A115,'Çalışan Listesi'!A:G,7,0)</f>
        <v>3.KADEME</v>
      </c>
      <c r="I115" s="65">
        <f>IFERROR(VLOOKUP(A115,'Kaizen Listesi'!A:H,8,0),0)</f>
        <v>0</v>
      </c>
      <c r="J115" s="65">
        <f>I115*VLOOKUP($I$2,'Kriter Ağırlık'!$A$1:$B$8,2,0)</f>
        <v>0</v>
      </c>
      <c r="K115" s="65">
        <f>IFERROR(VLOOKUP(A115,'Hata Kartı '!A:H,8,0),0)</f>
        <v>16.666666666666668</v>
      </c>
      <c r="L115" s="65">
        <f>K115*(VLOOKUP($K$2,'Kriter Ağırlık'!$A$1:$B$8,2,0))</f>
        <v>1.666666666666667</v>
      </c>
      <c r="M115" s="65">
        <f>IFERROR(VLOOKUP(F115,'5S'!$B$8:$E$19,4,0),0)</f>
        <v>1</v>
      </c>
      <c r="N115" s="65">
        <f>VLOOKUP(M115,'5S'!$G$8:$I$14,3,1)*VLOOKUP($M$2,'Kriter Ağırlık'!$A$1:$B$8,2,0)*E115*X115</f>
        <v>8</v>
      </c>
      <c r="O115" s="1">
        <f>IFERROR(VLOOKUP(A115,Devamsızlıklar!A:K,10,0),0)</f>
        <v>0</v>
      </c>
      <c r="P115" s="40">
        <f>VLOOKUP(O115,Aralıklar!$A$2:$C$5,3,1)*VLOOKUP($O$2,'Kriter Ağırlık'!$A$1:$B$8,2,0)*E115*X115</f>
        <v>10</v>
      </c>
      <c r="Q115" s="1">
        <f>IFERROR(VLOOKUP(A115,Devamsızlıklar!A:K,8,0),0)</f>
        <v>0</v>
      </c>
      <c r="R115" s="33">
        <f>VLOOKUP(Q115,Aralıklar!$E$2:$G$5,3,1)</f>
        <v>1</v>
      </c>
      <c r="S115" s="33">
        <f>IFERROR(VLOOKUP(A115,Devamsızlıklar!A:K,9,0),0)</f>
        <v>0</v>
      </c>
      <c r="T115" s="33">
        <f>VLOOKUP(S115,Aralıklar!$I$2:$K$6,3,1)</f>
        <v>50</v>
      </c>
      <c r="U115" s="33">
        <f>IFERROR(VLOOKUP(A115,Devamsızlıklar!A:K,11,0),0)</f>
        <v>0</v>
      </c>
      <c r="V115" s="33">
        <f>VLOOKUP(U115,Aralıklar!$M$2:$O$6,3,1)</f>
        <v>50</v>
      </c>
      <c r="W115" s="40">
        <f>IF(X115=0,0,(T115+V115)*R115*VLOOKUP($W$2,'Kriter Ağırlık'!$A$1:$B$8,2,1)*E115)</f>
        <v>10</v>
      </c>
      <c r="X115" s="40">
        <f>IFERROR(VLOOKUP(A115,Devamsızlıklar!A:M,13,0),1)</f>
        <v>1</v>
      </c>
      <c r="Y115" s="40">
        <f>(OEE!$K$6*VLOOKUP($Y$2,'Kriter Ağırlık'!$A$1:$B$8,2,1))*X115*E115</f>
        <v>35</v>
      </c>
      <c r="Z115" s="40">
        <f>(TELEF!$I$10*VLOOKUP($Z$2,'Kriter Ağırlık'!$A$1:$B$8,2,1))*X115*E115</f>
        <v>15</v>
      </c>
      <c r="AA115" s="40">
        <f t="shared" si="8"/>
        <v>79.666666666666671</v>
      </c>
      <c r="AB115" s="1">
        <v>3</v>
      </c>
      <c r="AC115" s="33">
        <f>VLOOKUP(AB115,'Kriter Ağırlık'!$A$12:$C$17,3,0)</f>
        <v>0</v>
      </c>
      <c r="AD115" s="1">
        <v>3</v>
      </c>
      <c r="AE115" s="33">
        <f>VLOOKUP(AD115,'Kriter Ağırlık'!$E$12:$G$24,3,0)</f>
        <v>1.1499999999999999</v>
      </c>
      <c r="AF115" s="92">
        <f t="shared" si="9"/>
        <v>0</v>
      </c>
      <c r="AG115" t="str">
        <f>VLOOKUP(A115,'Çalışan Listesi'!A:G,6,0)</f>
        <v>TAKIM LİDERİ</v>
      </c>
    </row>
    <row r="116" spans="1:33" x14ac:dyDescent="0.2">
      <c r="A116" s="2">
        <v>3551</v>
      </c>
      <c r="B116" s="3" t="s">
        <v>155</v>
      </c>
      <c r="C116" s="4">
        <v>41939</v>
      </c>
      <c r="D116" s="5">
        <f t="shared" si="11"/>
        <v>90</v>
      </c>
      <c r="E116" s="6">
        <f t="shared" si="7"/>
        <v>1</v>
      </c>
      <c r="F116" s="25" t="s">
        <v>421</v>
      </c>
      <c r="G116" s="3" t="s">
        <v>61</v>
      </c>
      <c r="H116" s="106" t="str">
        <f>VLOOKUP(A116,'Çalışan Listesi'!A:G,7,0)</f>
        <v>3.KADEME</v>
      </c>
      <c r="I116" s="65">
        <f>IFERROR(VLOOKUP(A116,'Kaizen Listesi'!A:H,8,0),0)</f>
        <v>0</v>
      </c>
      <c r="J116" s="65">
        <f>I116*VLOOKUP($I$2,'Kriter Ağırlık'!$A$1:$B$8,2,0)</f>
        <v>0</v>
      </c>
      <c r="K116" s="65">
        <f>IFERROR(VLOOKUP(A116,'Hata Kartı '!A:H,8,0),0)</f>
        <v>33.333333333333336</v>
      </c>
      <c r="L116" s="65">
        <f>K116*(VLOOKUP($K$2,'Kriter Ağırlık'!$A$1:$B$8,2,0))</f>
        <v>3.3333333333333339</v>
      </c>
      <c r="M116" s="65">
        <f>IFERROR(VLOOKUP(F116,'5S'!$B$8:$E$19,4,0),0)</f>
        <v>1</v>
      </c>
      <c r="N116" s="65">
        <f>VLOOKUP(M116,'5S'!$G$8:$I$14,3,1)*VLOOKUP($M$2,'Kriter Ağırlık'!$A$1:$B$8,2,0)*E116*X116</f>
        <v>7.3777777777777782</v>
      </c>
      <c r="O116" s="1">
        <f>IFERROR(VLOOKUP(A116,Devamsızlıklar!A:K,10,0),0)</f>
        <v>0</v>
      </c>
      <c r="P116" s="40">
        <f>VLOOKUP(O116,Aralıklar!$A$2:$C$5,3,1)*VLOOKUP($O$2,'Kriter Ağırlık'!$A$1:$B$8,2,0)*E116*X116</f>
        <v>9.2222222222222232</v>
      </c>
      <c r="Q116" s="1">
        <f>IFERROR(VLOOKUP(A116,Devamsızlıklar!A:K,8,0),0)</f>
        <v>0</v>
      </c>
      <c r="R116" s="33">
        <f>VLOOKUP(Q116,Aralıklar!$E$2:$G$5,3,1)</f>
        <v>1</v>
      </c>
      <c r="S116" s="33">
        <f>IFERROR(VLOOKUP(A116,Devamsızlıklar!A:K,9,0),0)</f>
        <v>0</v>
      </c>
      <c r="T116" s="33">
        <f>VLOOKUP(S116,Aralıklar!$I$2:$K$6,3,1)</f>
        <v>50</v>
      </c>
      <c r="U116" s="33">
        <f>IFERROR(VLOOKUP(A116,Devamsızlıklar!A:K,11,0),0)</f>
        <v>0</v>
      </c>
      <c r="V116" s="33">
        <f>VLOOKUP(U116,Aralıklar!$M$2:$O$6,3,1)</f>
        <v>50</v>
      </c>
      <c r="W116" s="40">
        <f>IF(X116=0,0,(T116+V116)*R116*VLOOKUP($W$2,'Kriter Ağırlık'!$A$1:$B$8,2,1)*E116)</f>
        <v>10</v>
      </c>
      <c r="X116" s="40">
        <f>IFERROR(VLOOKUP(A116,Devamsızlıklar!A:M,13,0),1)</f>
        <v>0.92222222222222228</v>
      </c>
      <c r="Y116" s="40">
        <f>(OEE!$K$6*VLOOKUP($Y$2,'Kriter Ağırlık'!$A$1:$B$8,2,1))*X116*E116</f>
        <v>32.277777777777779</v>
      </c>
      <c r="Z116" s="40">
        <f>(TELEF!$I$10*VLOOKUP($Z$2,'Kriter Ağırlık'!$A$1:$B$8,2,1))*X116*E116</f>
        <v>13.833333333333334</v>
      </c>
      <c r="AA116" s="40">
        <f t="shared" si="8"/>
        <v>76.044444444444451</v>
      </c>
      <c r="AB116" s="1">
        <v>5</v>
      </c>
      <c r="AC116" s="33">
        <f>VLOOKUP(AB116,'Kriter Ağırlık'!$A$12:$C$17,3,0)</f>
        <v>18.5</v>
      </c>
      <c r="AD116" s="1">
        <v>3</v>
      </c>
      <c r="AE116" s="33">
        <f>VLOOKUP(AD116,'Kriter Ağırlık'!$E$12:$G$24,3,0)</f>
        <v>1.1499999999999999</v>
      </c>
      <c r="AF116" s="92">
        <f t="shared" si="9"/>
        <v>1617.8455555555556</v>
      </c>
      <c r="AG116" t="str">
        <f>VLOOKUP(A116,'Çalışan Listesi'!A:G,6,0)</f>
        <v>OPERATÖR</v>
      </c>
    </row>
    <row r="117" spans="1:33" s="103" customFormat="1" x14ac:dyDescent="0.2">
      <c r="A117" s="93">
        <v>3565</v>
      </c>
      <c r="B117" s="94" t="s">
        <v>156</v>
      </c>
      <c r="C117" s="95">
        <v>41960</v>
      </c>
      <c r="D117" s="96">
        <f t="shared" si="11"/>
        <v>90</v>
      </c>
      <c r="E117" s="97">
        <f t="shared" si="7"/>
        <v>1</v>
      </c>
      <c r="F117" s="98" t="s">
        <v>421</v>
      </c>
      <c r="G117" s="94" t="s">
        <v>61</v>
      </c>
      <c r="H117" s="106" t="str">
        <f>VLOOKUP(A117,'Çalışan Listesi'!A:G,7,0)</f>
        <v>3.KADEME</v>
      </c>
      <c r="I117" s="100">
        <f>IFERROR(VLOOKUP(A117,'Kaizen Listesi'!A:H,8,0),0)</f>
        <v>0</v>
      </c>
      <c r="J117" s="100">
        <f>I117*VLOOKUP($I$2,'Kriter Ağırlık'!$A$1:$B$8,2,0)</f>
        <v>0</v>
      </c>
      <c r="K117" s="100">
        <f>IFERROR(VLOOKUP(A117,'Hata Kartı '!A:H,8,0),0)</f>
        <v>0</v>
      </c>
      <c r="L117" s="100">
        <f>K117*(VLOOKUP($K$2,'Kriter Ağırlık'!$A$1:$B$8,2,0))</f>
        <v>0</v>
      </c>
      <c r="M117" s="100">
        <f>IFERROR(VLOOKUP(F117,'5S'!$B$8:$E$19,4,0),0)</f>
        <v>1</v>
      </c>
      <c r="N117" s="100">
        <f>VLOOKUP(M117,'5S'!$G$8:$I$14,3,1)*VLOOKUP($M$2,'Kriter Ağırlık'!$A$1:$B$8,2,0)*E117*X117</f>
        <v>7.2</v>
      </c>
      <c r="O117" s="99">
        <f>IFERROR(VLOOKUP(A117,Devamsızlıklar!A:K,10,0),0)</f>
        <v>0</v>
      </c>
      <c r="P117" s="101">
        <f>VLOOKUP(O117,Aralıklar!$A$2:$C$5,3,1)*VLOOKUP($O$2,'Kriter Ağırlık'!$A$1:$B$8,2,0)*E117*X117</f>
        <v>9</v>
      </c>
      <c r="Q117" s="99">
        <f>IFERROR(VLOOKUP(A117,Devamsızlıklar!A:K,8,0),0)</f>
        <v>0</v>
      </c>
      <c r="R117" s="99">
        <f>VLOOKUP(Q117,Aralıklar!$E$2:$G$5,3,1)</f>
        <v>1</v>
      </c>
      <c r="S117" s="99">
        <f>IFERROR(VLOOKUP(A117,Devamsızlıklar!A:K,9,0),0)</f>
        <v>3</v>
      </c>
      <c r="T117" s="99">
        <f>VLOOKUP(S117,Aralıklar!$I$2:$K$6,3,1)</f>
        <v>50</v>
      </c>
      <c r="U117" s="99">
        <f>IFERROR(VLOOKUP(A117,Devamsızlıklar!A:K,11,0),0)</f>
        <v>0</v>
      </c>
      <c r="V117" s="99">
        <f>VLOOKUP(U117,Aralıklar!$M$2:$O$6,3,1)</f>
        <v>50</v>
      </c>
      <c r="W117" s="40">
        <f>IF(X117=0,0,(T117+V117)*R117*VLOOKUP($W$2,'Kriter Ağırlık'!$A$1:$B$8,2,1)*E117)</f>
        <v>10</v>
      </c>
      <c r="X117" s="101">
        <f>IFERROR(VLOOKUP(A117,Devamsızlıklar!A:M,13,0),1)</f>
        <v>0.9</v>
      </c>
      <c r="Y117" s="101">
        <f>(OEE!$K$6*VLOOKUP($Y$2,'Kriter Ağırlık'!$A$1:$B$8,2,1))*X117*E117</f>
        <v>31.5</v>
      </c>
      <c r="Z117" s="101">
        <f>(TELEF!$I$10*VLOOKUP($Z$2,'Kriter Ağırlık'!$A$1:$B$8,2,1))*X117*E117</f>
        <v>13.5</v>
      </c>
      <c r="AA117" s="101">
        <f t="shared" si="8"/>
        <v>71.2</v>
      </c>
      <c r="AB117" s="99">
        <v>5</v>
      </c>
      <c r="AC117" s="99">
        <f>VLOOKUP(AB117,'Kriter Ağırlık'!$A$12:$C$17,3,0)</f>
        <v>18.5</v>
      </c>
      <c r="AD117" s="99">
        <v>3</v>
      </c>
      <c r="AE117" s="99">
        <f>VLOOKUP(AD117,'Kriter Ağırlık'!$E$12:$G$24,3,0)</f>
        <v>1.1499999999999999</v>
      </c>
      <c r="AF117" s="102">
        <f t="shared" si="9"/>
        <v>1514.78</v>
      </c>
      <c r="AG117" t="str">
        <f>VLOOKUP(A117,'Çalışan Listesi'!A:G,6,0)</f>
        <v>OPERATÖR</v>
      </c>
    </row>
    <row r="118" spans="1:33" x14ac:dyDescent="0.2">
      <c r="A118" s="2">
        <v>3566</v>
      </c>
      <c r="B118" s="3" t="s">
        <v>157</v>
      </c>
      <c r="C118" s="4">
        <v>41960</v>
      </c>
      <c r="D118" s="5">
        <f t="shared" si="11"/>
        <v>90</v>
      </c>
      <c r="E118" s="6">
        <f t="shared" si="7"/>
        <v>1</v>
      </c>
      <c r="F118" s="25" t="s">
        <v>426</v>
      </c>
      <c r="G118" s="3" t="s">
        <v>550</v>
      </c>
      <c r="H118" s="106" t="str">
        <f>VLOOKUP(A118,'Çalışan Listesi'!A:G,7,0)</f>
        <v>3.KADEME</v>
      </c>
      <c r="I118" s="65">
        <f>IFERROR(VLOOKUP(A118,'Kaizen Listesi'!A:H,8,0),0)</f>
        <v>0</v>
      </c>
      <c r="J118" s="65">
        <f>I118*VLOOKUP($I$2,'Kriter Ağırlık'!$A$1:$B$8,2,0)</f>
        <v>0</v>
      </c>
      <c r="K118" s="65">
        <f>IFERROR(VLOOKUP(A118,'Hata Kartı '!A:H,8,0),0)</f>
        <v>33.333333333333336</v>
      </c>
      <c r="L118" s="65">
        <f>K118*(VLOOKUP($K$2,'Kriter Ağırlık'!$A$1:$B$8,2,0))</f>
        <v>3.3333333333333339</v>
      </c>
      <c r="M118" s="65">
        <f>IFERROR(VLOOKUP(F118,'5S'!$B$8:$E$19,4,0),0)</f>
        <v>1</v>
      </c>
      <c r="N118" s="65">
        <f>VLOOKUP(M118,'5S'!$G$8:$I$14,3,1)*VLOOKUP($M$2,'Kriter Ağırlık'!$A$1:$B$8,2,0)*E118*X118</f>
        <v>7.822222222222222</v>
      </c>
      <c r="O118" s="1">
        <f>IFERROR(VLOOKUP(A118,Devamsızlıklar!A:K,10,0),0)</f>
        <v>0</v>
      </c>
      <c r="P118" s="40">
        <f>VLOOKUP(O118,Aralıklar!$A$2:$C$5,3,1)*VLOOKUP($O$2,'Kriter Ağırlık'!$A$1:$B$8,2,0)*E118*X118</f>
        <v>9.7777777777777768</v>
      </c>
      <c r="Q118" s="1">
        <f>IFERROR(VLOOKUP(A118,Devamsızlıklar!A:K,8,0),0)</f>
        <v>0</v>
      </c>
      <c r="R118" s="33">
        <f>VLOOKUP(Q118,Aralıklar!$E$2:$G$5,3,1)</f>
        <v>1</v>
      </c>
      <c r="S118" s="33">
        <f>IFERROR(VLOOKUP(A118,Devamsızlıklar!A:K,9,0),0)</f>
        <v>0</v>
      </c>
      <c r="T118" s="33">
        <f>VLOOKUP(S118,Aralıklar!$I$2:$K$6,3,1)</f>
        <v>50</v>
      </c>
      <c r="U118" s="33">
        <f>IFERROR(VLOOKUP(A118,Devamsızlıklar!A:K,11,0),0)</f>
        <v>2</v>
      </c>
      <c r="V118" s="33">
        <f>VLOOKUP(U118,Aralıklar!$M$2:$O$6,3,1)</f>
        <v>25</v>
      </c>
      <c r="W118" s="40">
        <f>IF(X118=0,0,(T118+V118)*R118*VLOOKUP($W$2,'Kriter Ağırlık'!$A$1:$B$8,2,1)*E118)</f>
        <v>7.5</v>
      </c>
      <c r="X118" s="40">
        <f>IFERROR(VLOOKUP(A118,Devamsızlıklar!A:M,13,0),1)</f>
        <v>0.97777777777777775</v>
      </c>
      <c r="Y118" s="40">
        <f>(OEE!$K$6*VLOOKUP($Y$2,'Kriter Ağırlık'!$A$1:$B$8,2,1))*X118*E118</f>
        <v>34.222222222222221</v>
      </c>
      <c r="Z118" s="40">
        <f>(TELEF!$I$10*VLOOKUP($Z$2,'Kriter Ağırlık'!$A$1:$B$8,2,1))*X118*E118</f>
        <v>14.666666666666666</v>
      </c>
      <c r="AA118" s="40">
        <f t="shared" si="8"/>
        <v>77.322222222222223</v>
      </c>
      <c r="AB118" s="1">
        <v>5</v>
      </c>
      <c r="AC118" s="33">
        <f>VLOOKUP(AB118,'Kriter Ağırlık'!$A$12:$C$17,3,0)</f>
        <v>18.5</v>
      </c>
      <c r="AD118" s="1">
        <v>3</v>
      </c>
      <c r="AE118" s="33">
        <f>VLOOKUP(AD118,'Kriter Ağırlık'!$E$12:$G$24,3,0)</f>
        <v>1.1499999999999999</v>
      </c>
      <c r="AF118" s="92">
        <f t="shared" si="9"/>
        <v>1645.0302777777779</v>
      </c>
      <c r="AG118" t="str">
        <f>VLOOKUP(A118,'Çalışan Listesi'!A:G,6,0)</f>
        <v>OPERATÖR</v>
      </c>
    </row>
    <row r="119" spans="1:33" x14ac:dyDescent="0.2">
      <c r="A119" s="2">
        <v>3567</v>
      </c>
      <c r="B119" s="3" t="s">
        <v>159</v>
      </c>
      <c r="C119" s="4">
        <v>41960</v>
      </c>
      <c r="D119" s="5">
        <f t="shared" si="11"/>
        <v>90</v>
      </c>
      <c r="E119" s="6">
        <f t="shared" si="7"/>
        <v>1</v>
      </c>
      <c r="F119" s="25" t="s">
        <v>431</v>
      </c>
      <c r="G119" s="3" t="s">
        <v>125</v>
      </c>
      <c r="H119" s="106" t="str">
        <f>VLOOKUP(A119,'Çalışan Listesi'!A:G,7,0)</f>
        <v>3.KADEME</v>
      </c>
      <c r="I119" s="65">
        <f>IFERROR(VLOOKUP(A119,'Kaizen Listesi'!A:H,8,0),0)</f>
        <v>0</v>
      </c>
      <c r="J119" s="65">
        <f>I119*VLOOKUP($I$2,'Kriter Ağırlık'!$A$1:$B$8,2,0)</f>
        <v>0</v>
      </c>
      <c r="K119" s="65">
        <f>IFERROR(VLOOKUP(A119,'Hata Kartı '!A:H,8,0),0)</f>
        <v>66.666666666666671</v>
      </c>
      <c r="L119" s="65">
        <f>K119*(VLOOKUP($K$2,'Kriter Ağırlık'!$A$1:$B$8,2,0))</f>
        <v>6.6666666666666679</v>
      </c>
      <c r="M119" s="65">
        <f>IFERROR(VLOOKUP(F119,'5S'!$B$8:$E$19,4,0),0)</f>
        <v>1</v>
      </c>
      <c r="N119" s="65">
        <f>VLOOKUP(M119,'5S'!$G$8:$I$14,3,1)*VLOOKUP($M$2,'Kriter Ağırlık'!$A$1:$B$8,2,0)*E119*X119</f>
        <v>8</v>
      </c>
      <c r="O119" s="1">
        <f>IFERROR(VLOOKUP(A119,Devamsızlıklar!A:K,10,0),0)</f>
        <v>0</v>
      </c>
      <c r="P119" s="40">
        <f>VLOOKUP(O119,Aralıklar!$A$2:$C$5,3,1)*VLOOKUP($O$2,'Kriter Ağırlık'!$A$1:$B$8,2,0)*E119*X119</f>
        <v>10</v>
      </c>
      <c r="Q119" s="1">
        <f>IFERROR(VLOOKUP(A119,Devamsızlıklar!A:K,8,0),0)</f>
        <v>0</v>
      </c>
      <c r="R119" s="33">
        <f>VLOOKUP(Q119,Aralıklar!$E$2:$G$5,3,1)</f>
        <v>1</v>
      </c>
      <c r="S119" s="33">
        <f>IFERROR(VLOOKUP(A119,Devamsızlıklar!A:K,9,0),0)</f>
        <v>0</v>
      </c>
      <c r="T119" s="33">
        <f>VLOOKUP(S119,Aralıklar!$I$2:$K$6,3,1)</f>
        <v>50</v>
      </c>
      <c r="U119" s="33">
        <f>IFERROR(VLOOKUP(A119,Devamsızlıklar!A:K,11,0),0)</f>
        <v>0</v>
      </c>
      <c r="V119" s="33">
        <f>VLOOKUP(U119,Aralıklar!$M$2:$O$6,3,1)</f>
        <v>50</v>
      </c>
      <c r="W119" s="40">
        <f>IF(X119=0,0,(T119+V119)*R119*VLOOKUP($W$2,'Kriter Ağırlık'!$A$1:$B$8,2,1)*E119)</f>
        <v>10</v>
      </c>
      <c r="X119" s="40">
        <f>IFERROR(VLOOKUP(A119,Devamsızlıklar!A:M,13,0),1)</f>
        <v>1</v>
      </c>
      <c r="Y119" s="40">
        <f>(OEE!$K$6*VLOOKUP($Y$2,'Kriter Ağırlık'!$A$1:$B$8,2,1))*X119*E119</f>
        <v>35</v>
      </c>
      <c r="Z119" s="40">
        <f>(TELEF!$I$10*VLOOKUP($Z$2,'Kriter Ağırlık'!$A$1:$B$8,2,1))*X119*E119</f>
        <v>15</v>
      </c>
      <c r="AA119" s="40">
        <f t="shared" si="8"/>
        <v>84.666666666666671</v>
      </c>
      <c r="AB119" s="1">
        <v>5</v>
      </c>
      <c r="AC119" s="33">
        <f>VLOOKUP(AB119,'Kriter Ağırlık'!$A$12:$C$17,3,0)</f>
        <v>18.5</v>
      </c>
      <c r="AD119" s="1">
        <v>3</v>
      </c>
      <c r="AE119" s="33">
        <f>VLOOKUP(AD119,'Kriter Ağırlık'!$E$12:$G$24,3,0)</f>
        <v>1.1499999999999999</v>
      </c>
      <c r="AF119" s="92">
        <f t="shared" si="9"/>
        <v>1801.2833333333333</v>
      </c>
      <c r="AG119" t="str">
        <f>VLOOKUP(A119,'Çalışan Listesi'!A:G,6,0)</f>
        <v>OPERATÖR</v>
      </c>
    </row>
    <row r="120" spans="1:33" x14ac:dyDescent="0.2">
      <c r="A120" s="2">
        <v>3572</v>
      </c>
      <c r="B120" s="3" t="s">
        <v>160</v>
      </c>
      <c r="C120" s="4">
        <v>41975</v>
      </c>
      <c r="D120" s="5">
        <f t="shared" si="11"/>
        <v>90</v>
      </c>
      <c r="E120" s="6">
        <f t="shared" si="7"/>
        <v>1</v>
      </c>
      <c r="F120" s="25" t="s">
        <v>426</v>
      </c>
      <c r="G120" s="3" t="s">
        <v>549</v>
      </c>
      <c r="H120" s="106" t="str">
        <f>VLOOKUP(A120,'Çalışan Listesi'!A:G,7,0)</f>
        <v>3.KADEME</v>
      </c>
      <c r="I120" s="65">
        <f>IFERROR(VLOOKUP(A120,'Kaizen Listesi'!A:H,8,0),0)</f>
        <v>0</v>
      </c>
      <c r="J120" s="65">
        <f>I120*VLOOKUP($I$2,'Kriter Ağırlık'!$A$1:$B$8,2,0)</f>
        <v>0</v>
      </c>
      <c r="K120" s="65">
        <f>IFERROR(VLOOKUP(A120,'Hata Kartı '!A:H,8,0),0)</f>
        <v>0</v>
      </c>
      <c r="L120" s="65">
        <f>K120*(VLOOKUP($K$2,'Kriter Ağırlık'!$A$1:$B$8,2,0))</f>
        <v>0</v>
      </c>
      <c r="M120" s="65">
        <f>IFERROR(VLOOKUP(F120,'5S'!$B$8:$E$19,4,0),0)</f>
        <v>1</v>
      </c>
      <c r="N120" s="65">
        <f>VLOOKUP(M120,'5S'!$G$8:$I$14,3,1)*VLOOKUP($M$2,'Kriter Ağırlık'!$A$1:$B$8,2,0)*E120*X120</f>
        <v>6.7555555555555555</v>
      </c>
      <c r="O120" s="1">
        <f>IFERROR(VLOOKUP(A120,Devamsızlıklar!A:K,10,0),0)</f>
        <v>0</v>
      </c>
      <c r="P120" s="40">
        <f>VLOOKUP(O120,Aralıklar!$A$2:$C$5,3,1)*VLOOKUP($O$2,'Kriter Ağırlık'!$A$1:$B$8,2,0)*E120*X120</f>
        <v>8.4444444444444446</v>
      </c>
      <c r="Q120" s="1">
        <f>IFERROR(VLOOKUP(A120,Devamsızlıklar!A:K,8,0),0)</f>
        <v>0</v>
      </c>
      <c r="R120" s="33">
        <f>VLOOKUP(Q120,Aralıklar!$E$2:$G$5,3,1)</f>
        <v>1</v>
      </c>
      <c r="S120" s="33">
        <f>IFERROR(VLOOKUP(A120,Devamsızlıklar!A:K,9,0),0)</f>
        <v>0</v>
      </c>
      <c r="T120" s="33">
        <f>VLOOKUP(S120,Aralıklar!$I$2:$K$6,3,1)</f>
        <v>50</v>
      </c>
      <c r="U120" s="33">
        <f>IFERROR(VLOOKUP(A120,Devamsızlıklar!A:K,11,0),0)</f>
        <v>0</v>
      </c>
      <c r="V120" s="33">
        <f>VLOOKUP(U120,Aralıklar!$M$2:$O$6,3,1)</f>
        <v>50</v>
      </c>
      <c r="W120" s="40">
        <f>IF(X120=0,0,(T120+V120)*R120*VLOOKUP($W$2,'Kriter Ağırlık'!$A$1:$B$8,2,1)*E120)</f>
        <v>10</v>
      </c>
      <c r="X120" s="40">
        <f>IFERROR(VLOOKUP(A120,Devamsızlıklar!A:M,13,0),1)</f>
        <v>0.84444444444444444</v>
      </c>
      <c r="Y120" s="40">
        <f>(OEE!$K$6*VLOOKUP($Y$2,'Kriter Ağırlık'!$A$1:$B$8,2,1))*X120*E120</f>
        <v>29.555555555555557</v>
      </c>
      <c r="Z120" s="40">
        <f>(TELEF!$I$10*VLOOKUP($Z$2,'Kriter Ağırlık'!$A$1:$B$8,2,1))*X120*E120</f>
        <v>12.666666666666666</v>
      </c>
      <c r="AA120" s="40">
        <f t="shared" si="8"/>
        <v>67.422222222222231</v>
      </c>
      <c r="AB120" s="1">
        <v>5</v>
      </c>
      <c r="AC120" s="33">
        <f>VLOOKUP(AB120,'Kriter Ağırlık'!$A$12:$C$17,3,0)</f>
        <v>18.5</v>
      </c>
      <c r="AD120" s="1">
        <v>3</v>
      </c>
      <c r="AE120" s="33">
        <f>VLOOKUP(AD120,'Kriter Ağırlık'!$E$12:$G$24,3,0)</f>
        <v>1.1499999999999999</v>
      </c>
      <c r="AF120" s="92">
        <f t="shared" si="9"/>
        <v>1434.4077777777779</v>
      </c>
      <c r="AG120" t="str">
        <f>VLOOKUP(A120,'Çalışan Listesi'!A:G,6,0)</f>
        <v>OPERATÖR</v>
      </c>
    </row>
    <row r="121" spans="1:33" x14ac:dyDescent="0.2">
      <c r="A121" s="2">
        <v>3576</v>
      </c>
      <c r="B121" s="3" t="s">
        <v>161</v>
      </c>
      <c r="C121" s="4">
        <v>41981</v>
      </c>
      <c r="D121" s="5">
        <f t="shared" si="11"/>
        <v>90</v>
      </c>
      <c r="E121" s="6">
        <f t="shared" si="7"/>
        <v>1</v>
      </c>
      <c r="F121" s="25" t="s">
        <v>426</v>
      </c>
      <c r="G121" s="3" t="s">
        <v>549</v>
      </c>
      <c r="H121" s="106" t="str">
        <f>VLOOKUP(A121,'Çalışan Listesi'!A:G,7,0)</f>
        <v>3.KADEME</v>
      </c>
      <c r="I121" s="65">
        <f>IFERROR(VLOOKUP(A121,'Kaizen Listesi'!A:H,8,0),0)</f>
        <v>0</v>
      </c>
      <c r="J121" s="65">
        <f>I121*VLOOKUP($I$2,'Kriter Ağırlık'!$A$1:$B$8,2,0)</f>
        <v>0</v>
      </c>
      <c r="K121" s="65">
        <f>IFERROR(VLOOKUP(A121,'Hata Kartı '!A:H,8,0),0)</f>
        <v>0</v>
      </c>
      <c r="L121" s="65">
        <f>K121*(VLOOKUP($K$2,'Kriter Ağırlık'!$A$1:$B$8,2,0))</f>
        <v>0</v>
      </c>
      <c r="M121" s="65">
        <f>IFERROR(VLOOKUP(F121,'5S'!$B$8:$E$19,4,0),0)</f>
        <v>1</v>
      </c>
      <c r="N121" s="65">
        <f>VLOOKUP(M121,'5S'!$G$8:$I$14,3,1)*VLOOKUP($M$2,'Kriter Ağırlık'!$A$1:$B$8,2,0)*E121*X121</f>
        <v>7.9111111111111114</v>
      </c>
      <c r="O121" s="1">
        <f>IFERROR(VLOOKUP(A121,Devamsızlıklar!A:K,10,0),0)</f>
        <v>0</v>
      </c>
      <c r="P121" s="40">
        <f>VLOOKUP(O121,Aralıklar!$A$2:$C$5,3,1)*VLOOKUP($O$2,'Kriter Ağırlık'!$A$1:$B$8,2,0)*E121*X121</f>
        <v>9.8888888888888893</v>
      </c>
      <c r="Q121" s="1">
        <f>IFERROR(VLOOKUP(A121,Devamsızlıklar!A:K,8,0),0)</f>
        <v>0</v>
      </c>
      <c r="R121" s="33">
        <f>VLOOKUP(Q121,Aralıklar!$E$2:$G$5,3,1)</f>
        <v>1</v>
      </c>
      <c r="S121" s="33">
        <f>IFERROR(VLOOKUP(A121,Devamsızlıklar!A:K,9,0),0)</f>
        <v>0</v>
      </c>
      <c r="T121" s="33">
        <f>VLOOKUP(S121,Aralıklar!$I$2:$K$6,3,1)</f>
        <v>50</v>
      </c>
      <c r="U121" s="33">
        <f>IFERROR(VLOOKUP(A121,Devamsızlıklar!A:K,11,0),0)</f>
        <v>1</v>
      </c>
      <c r="V121" s="33">
        <f>VLOOKUP(U121,Aralıklar!$M$2:$O$6,3,1)</f>
        <v>50</v>
      </c>
      <c r="W121" s="40">
        <f>IF(X121=0,0,(T121+V121)*R121*VLOOKUP($W$2,'Kriter Ağırlık'!$A$1:$B$8,2,1)*E121)</f>
        <v>10</v>
      </c>
      <c r="X121" s="40">
        <f>IFERROR(VLOOKUP(A121,Devamsızlıklar!A:M,13,0),1)</f>
        <v>0.98888888888888893</v>
      </c>
      <c r="Y121" s="40">
        <f>(OEE!$K$6*VLOOKUP($Y$2,'Kriter Ağırlık'!$A$1:$B$8,2,1))*X121*E121</f>
        <v>34.611111111111114</v>
      </c>
      <c r="Z121" s="40">
        <f>(TELEF!$I$10*VLOOKUP($Z$2,'Kriter Ağırlık'!$A$1:$B$8,2,1))*X121*E121</f>
        <v>14.833333333333334</v>
      </c>
      <c r="AA121" s="40">
        <f t="shared" si="8"/>
        <v>77.24444444444444</v>
      </c>
      <c r="AB121" s="1">
        <v>5</v>
      </c>
      <c r="AC121" s="33">
        <f>VLOOKUP(AB121,'Kriter Ağırlık'!$A$12:$C$17,3,0)</f>
        <v>18.5</v>
      </c>
      <c r="AD121" s="106">
        <v>3</v>
      </c>
      <c r="AE121" s="33">
        <f>VLOOKUP(AD121,'Kriter Ağırlık'!$E$12:$G$24,3,0)</f>
        <v>1.1499999999999999</v>
      </c>
      <c r="AF121" s="92">
        <f t="shared" si="9"/>
        <v>1643.3755555555554</v>
      </c>
      <c r="AG121" t="str">
        <f>VLOOKUP(A121,'Çalışan Listesi'!A:G,6,0)</f>
        <v>OPERATÖR</v>
      </c>
    </row>
    <row r="122" spans="1:33" x14ac:dyDescent="0.2">
      <c r="A122" s="2">
        <v>3582</v>
      </c>
      <c r="B122" s="3" t="s">
        <v>162</v>
      </c>
      <c r="C122" s="4">
        <v>41995</v>
      </c>
      <c r="D122" s="5">
        <f t="shared" si="11"/>
        <v>90</v>
      </c>
      <c r="E122" s="6">
        <f t="shared" si="7"/>
        <v>1</v>
      </c>
      <c r="F122" s="25" t="s">
        <v>423</v>
      </c>
      <c r="G122" s="3" t="s">
        <v>163</v>
      </c>
      <c r="H122" s="106" t="str">
        <f>VLOOKUP(A122,'Çalışan Listesi'!A:G,7,0)</f>
        <v>2.KADEME</v>
      </c>
      <c r="I122" s="65">
        <f>IFERROR(VLOOKUP(A122,'Kaizen Listesi'!A:H,8,0),0)</f>
        <v>0</v>
      </c>
      <c r="J122" s="65">
        <f>I122*VLOOKUP($I$2,'Kriter Ağırlık'!$A$1:$B$8,2,0)</f>
        <v>0</v>
      </c>
      <c r="K122" s="65">
        <f>IFERROR(VLOOKUP(A122,'Hata Kartı '!A:H,8,0),0)</f>
        <v>33.333333333333336</v>
      </c>
      <c r="L122" s="65">
        <f>K122*(VLOOKUP($K$2,'Kriter Ağırlık'!$A$1:$B$8,2,0))</f>
        <v>3.3333333333333339</v>
      </c>
      <c r="M122" s="65">
        <f>IFERROR(VLOOKUP(F122,'5S'!$B$8:$E$19,4,0),0)</f>
        <v>1</v>
      </c>
      <c r="N122" s="65">
        <f>VLOOKUP(M122,'5S'!$G$8:$I$14,3,1)*VLOOKUP($M$2,'Kriter Ağırlık'!$A$1:$B$8,2,0)*E122*X122</f>
        <v>7.822222222222222</v>
      </c>
      <c r="O122" s="1">
        <f>IFERROR(VLOOKUP(A122,Devamsızlıklar!A:K,10,0),0)</f>
        <v>0</v>
      </c>
      <c r="P122" s="40">
        <f>VLOOKUP(O122,Aralıklar!$A$2:$C$5,3,1)*VLOOKUP($O$2,'Kriter Ağırlık'!$A$1:$B$8,2,0)*E122*X122</f>
        <v>9.7777777777777768</v>
      </c>
      <c r="Q122" s="1">
        <f>IFERROR(VLOOKUP(A122,Devamsızlıklar!A:K,8,0),0)</f>
        <v>0</v>
      </c>
      <c r="R122" s="33">
        <f>VLOOKUP(Q122,Aralıklar!$E$2:$G$5,3,1)</f>
        <v>1</v>
      </c>
      <c r="S122" s="33">
        <f>IFERROR(VLOOKUP(A122,Devamsızlıklar!A:K,9,0),0)</f>
        <v>2</v>
      </c>
      <c r="T122" s="33">
        <f>VLOOKUP(S122,Aralıklar!$I$2:$K$6,3,1)</f>
        <v>50</v>
      </c>
      <c r="U122" s="33">
        <f>IFERROR(VLOOKUP(A122,Devamsızlıklar!A:K,11,0),0)</f>
        <v>0</v>
      </c>
      <c r="V122" s="33">
        <f>VLOOKUP(U122,Aralıklar!$M$2:$O$6,3,1)</f>
        <v>50</v>
      </c>
      <c r="W122" s="40">
        <f>IF(X122=0,0,(T122+V122)*R122*VLOOKUP($W$2,'Kriter Ağırlık'!$A$1:$B$8,2,1)*E122)</f>
        <v>10</v>
      </c>
      <c r="X122" s="40">
        <f>IFERROR(VLOOKUP(A122,Devamsızlıklar!A:M,13,0),1)</f>
        <v>0.97777777777777775</v>
      </c>
      <c r="Y122" s="40">
        <f>(OEE!$K$6*VLOOKUP($Y$2,'Kriter Ağırlık'!$A$1:$B$8,2,1))*X122*E122</f>
        <v>34.222222222222221</v>
      </c>
      <c r="Z122" s="40">
        <f>(TELEF!$I$10*VLOOKUP($Z$2,'Kriter Ağırlık'!$A$1:$B$8,2,1))*X122*E122</f>
        <v>14.666666666666666</v>
      </c>
      <c r="AA122" s="40">
        <f t="shared" si="8"/>
        <v>79.822222222222223</v>
      </c>
      <c r="AB122" s="1">
        <v>4</v>
      </c>
      <c r="AC122" s="33">
        <f>VLOOKUP(AB122,'Kriter Ağırlık'!$A$12:$C$17,3,0)</f>
        <v>13.5</v>
      </c>
      <c r="AD122" s="1">
        <v>1</v>
      </c>
      <c r="AE122" s="33">
        <f>VLOOKUP(AD122,'Kriter Ağırlık'!$E$12:$G$24,3,0)</f>
        <v>1</v>
      </c>
      <c r="AF122" s="92">
        <f t="shared" si="9"/>
        <v>1077.5999999999999</v>
      </c>
      <c r="AG122" t="str">
        <f>VLOOKUP(A122,'Çalışan Listesi'!A:G,6,0)</f>
        <v>TAKIM LİDERİ YARDIMCISI</v>
      </c>
    </row>
    <row r="123" spans="1:33" x14ac:dyDescent="0.2">
      <c r="A123" s="2">
        <v>3597</v>
      </c>
      <c r="B123" s="3" t="s">
        <v>164</v>
      </c>
      <c r="C123" s="4">
        <v>42023</v>
      </c>
      <c r="D123" s="5">
        <f t="shared" si="11"/>
        <v>90</v>
      </c>
      <c r="E123" s="6">
        <f t="shared" si="7"/>
        <v>1</v>
      </c>
      <c r="F123" s="25" t="s">
        <v>429</v>
      </c>
      <c r="G123" s="3" t="s">
        <v>46</v>
      </c>
      <c r="H123" s="106" t="str">
        <f>VLOOKUP(A123,'Çalışan Listesi'!A:G,7,0)</f>
        <v>3.KADEME</v>
      </c>
      <c r="I123" s="65">
        <f>IFERROR(VLOOKUP(A123,'Kaizen Listesi'!A:H,8,0),0)</f>
        <v>0</v>
      </c>
      <c r="J123" s="65">
        <f>I123*VLOOKUP($I$2,'Kriter Ağırlık'!$A$1:$B$8,2,0)</f>
        <v>0</v>
      </c>
      <c r="K123" s="65">
        <f>IFERROR(VLOOKUP(A123,'Hata Kartı '!A:H,8,0),0)</f>
        <v>16.666666666666668</v>
      </c>
      <c r="L123" s="65">
        <f>K123*(VLOOKUP($K$2,'Kriter Ağırlık'!$A$1:$B$8,2,0))</f>
        <v>1.666666666666667</v>
      </c>
      <c r="M123" s="65">
        <f>IFERROR(VLOOKUP(F123,'5S'!$B$8:$E$19,4,0),0)</f>
        <v>1</v>
      </c>
      <c r="N123" s="65">
        <f>VLOOKUP(M123,'5S'!$G$8:$I$14,3,1)*VLOOKUP($M$2,'Kriter Ağırlık'!$A$1:$B$8,2,0)*E123*X123</f>
        <v>7.7333333333333334</v>
      </c>
      <c r="O123" s="1">
        <f>IFERROR(VLOOKUP(A123,Devamsızlıklar!A:K,10,0),0)</f>
        <v>0</v>
      </c>
      <c r="P123" s="40">
        <f>VLOOKUP(O123,Aralıklar!$A$2:$C$5,3,1)*VLOOKUP($O$2,'Kriter Ağırlık'!$A$1:$B$8,2,0)*E123*X123</f>
        <v>9.6666666666666661</v>
      </c>
      <c r="Q123" s="1">
        <f>IFERROR(VLOOKUP(A123,Devamsızlıklar!A:K,8,0),0)</f>
        <v>0</v>
      </c>
      <c r="R123" s="33">
        <f>VLOOKUP(Q123,Aralıklar!$E$2:$G$5,3,1)</f>
        <v>1</v>
      </c>
      <c r="S123" s="33">
        <f>IFERROR(VLOOKUP(A123,Devamsızlıklar!A:K,9,0),0)</f>
        <v>3</v>
      </c>
      <c r="T123" s="33">
        <f>VLOOKUP(S123,Aralıklar!$I$2:$K$6,3,1)</f>
        <v>50</v>
      </c>
      <c r="U123" s="33">
        <f>IFERROR(VLOOKUP(A123,Devamsızlıklar!A:K,11,0),0)</f>
        <v>0</v>
      </c>
      <c r="V123" s="33">
        <f>VLOOKUP(U123,Aralıklar!$M$2:$O$6,3,1)</f>
        <v>50</v>
      </c>
      <c r="W123" s="40">
        <f>IF(X123=0,0,(T123+V123)*R123*VLOOKUP($W$2,'Kriter Ağırlık'!$A$1:$B$8,2,1)*E123)</f>
        <v>10</v>
      </c>
      <c r="X123" s="40">
        <f>IFERROR(VLOOKUP(A123,Devamsızlıklar!A:M,13,0),1)</f>
        <v>0.96666666666666667</v>
      </c>
      <c r="Y123" s="40">
        <f>(OEE!$K$6*VLOOKUP($Y$2,'Kriter Ağırlık'!$A$1:$B$8,2,1))*X123*E123</f>
        <v>33.833333333333336</v>
      </c>
      <c r="Z123" s="40">
        <f>(TELEF!$I$10*VLOOKUP($Z$2,'Kriter Ağırlık'!$A$1:$B$8,2,1))*X123*E123</f>
        <v>14.5</v>
      </c>
      <c r="AA123" s="40">
        <f t="shared" si="8"/>
        <v>77.400000000000006</v>
      </c>
      <c r="AB123" s="1">
        <v>5</v>
      </c>
      <c r="AC123" s="33">
        <f>VLOOKUP(AB123,'Kriter Ağırlık'!$A$12:$C$17,3,0)</f>
        <v>18.5</v>
      </c>
      <c r="AD123" s="1">
        <v>3</v>
      </c>
      <c r="AE123" s="33">
        <f>VLOOKUP(AD123,'Kriter Ağırlık'!$E$12:$G$24,3,0)</f>
        <v>1.1499999999999999</v>
      </c>
      <c r="AF123" s="92">
        <f t="shared" si="9"/>
        <v>1646.6849999999999</v>
      </c>
      <c r="AG123" t="str">
        <f>VLOOKUP(A123,'Çalışan Listesi'!A:G,6,0)</f>
        <v>OPERATÖR</v>
      </c>
    </row>
    <row r="124" spans="1:33" x14ac:dyDescent="0.2">
      <c r="A124" s="2">
        <v>3598</v>
      </c>
      <c r="B124" s="3" t="s">
        <v>165</v>
      </c>
      <c r="C124" s="4">
        <v>42023</v>
      </c>
      <c r="D124" s="5">
        <f t="shared" si="11"/>
        <v>90</v>
      </c>
      <c r="E124" s="6">
        <f t="shared" si="7"/>
        <v>1</v>
      </c>
      <c r="F124" s="25" t="s">
        <v>429</v>
      </c>
      <c r="G124" s="3" t="s">
        <v>46</v>
      </c>
      <c r="H124" s="106" t="str">
        <f>VLOOKUP(A124,'Çalışan Listesi'!A:G,7,0)</f>
        <v>3.KADEME</v>
      </c>
      <c r="I124" s="65">
        <f>IFERROR(VLOOKUP(A124,'Kaizen Listesi'!A:H,8,0),0)</f>
        <v>0</v>
      </c>
      <c r="J124" s="65">
        <f>I124*VLOOKUP($I$2,'Kriter Ağırlık'!$A$1:$B$8,2,0)</f>
        <v>0</v>
      </c>
      <c r="K124" s="65">
        <f>IFERROR(VLOOKUP(A124,'Hata Kartı '!A:H,8,0),0)</f>
        <v>16.666666666666668</v>
      </c>
      <c r="L124" s="65">
        <f>K124*(VLOOKUP($K$2,'Kriter Ağırlık'!$A$1:$B$8,2,0))</f>
        <v>1.666666666666667</v>
      </c>
      <c r="M124" s="65">
        <f>IFERROR(VLOOKUP(F124,'5S'!$B$8:$E$19,4,0),0)</f>
        <v>1</v>
      </c>
      <c r="N124" s="65">
        <f>VLOOKUP(M124,'5S'!$G$8:$I$14,3,1)*VLOOKUP($M$2,'Kriter Ağırlık'!$A$1:$B$8,2,0)*E124*X124</f>
        <v>7.7333333333333334</v>
      </c>
      <c r="O124" s="1">
        <f>IFERROR(VLOOKUP(A124,Devamsızlıklar!A:K,10,0),0)</f>
        <v>0</v>
      </c>
      <c r="P124" s="40">
        <f>VLOOKUP(O124,Aralıklar!$A$2:$C$5,3,1)*VLOOKUP($O$2,'Kriter Ağırlık'!$A$1:$B$8,2,0)*E124*X124</f>
        <v>9.6666666666666661</v>
      </c>
      <c r="Q124" s="1">
        <f>IFERROR(VLOOKUP(A124,Devamsızlıklar!A:K,8,0),0)</f>
        <v>0</v>
      </c>
      <c r="R124" s="33">
        <f>VLOOKUP(Q124,Aralıklar!$E$2:$G$5,3,1)</f>
        <v>1</v>
      </c>
      <c r="S124" s="33">
        <f>IFERROR(VLOOKUP(A124,Devamsızlıklar!A:K,9,0),0)</f>
        <v>3</v>
      </c>
      <c r="T124" s="33">
        <f>VLOOKUP(S124,Aralıklar!$I$2:$K$6,3,1)</f>
        <v>50</v>
      </c>
      <c r="U124" s="33">
        <f>IFERROR(VLOOKUP(A124,Devamsızlıklar!A:K,11,0),0)</f>
        <v>0</v>
      </c>
      <c r="V124" s="33">
        <f>VLOOKUP(U124,Aralıklar!$M$2:$O$6,3,1)</f>
        <v>50</v>
      </c>
      <c r="W124" s="40">
        <f>IF(X124=0,0,(T124+V124)*R124*VLOOKUP($W$2,'Kriter Ağırlık'!$A$1:$B$8,2,1)*E124)</f>
        <v>10</v>
      </c>
      <c r="X124" s="40">
        <f>IFERROR(VLOOKUP(A124,Devamsızlıklar!A:M,13,0),1)</f>
        <v>0.96666666666666667</v>
      </c>
      <c r="Y124" s="40">
        <f>(OEE!$K$6*VLOOKUP($Y$2,'Kriter Ağırlık'!$A$1:$B$8,2,1))*X124*E124</f>
        <v>33.833333333333336</v>
      </c>
      <c r="Z124" s="40">
        <f>(TELEF!$I$10*VLOOKUP($Z$2,'Kriter Ağırlık'!$A$1:$B$8,2,1))*X124*E124</f>
        <v>14.5</v>
      </c>
      <c r="AA124" s="40">
        <f t="shared" si="8"/>
        <v>77.400000000000006</v>
      </c>
      <c r="AB124" s="1">
        <v>5</v>
      </c>
      <c r="AC124" s="33">
        <f>VLOOKUP(AB124,'Kriter Ağırlık'!$A$12:$C$17,3,0)</f>
        <v>18.5</v>
      </c>
      <c r="AD124" s="1">
        <v>3</v>
      </c>
      <c r="AE124" s="33">
        <f>VLOOKUP(AD124,'Kriter Ağırlık'!$E$12:$G$24,3,0)</f>
        <v>1.1499999999999999</v>
      </c>
      <c r="AF124" s="92">
        <f t="shared" si="9"/>
        <v>1646.6849999999999</v>
      </c>
      <c r="AG124" t="str">
        <f>VLOOKUP(A124,'Çalışan Listesi'!A:G,6,0)</f>
        <v>OPERATÖR</v>
      </c>
    </row>
    <row r="125" spans="1:33" x14ac:dyDescent="0.2">
      <c r="A125" s="2">
        <v>3614</v>
      </c>
      <c r="B125" s="3" t="s">
        <v>166</v>
      </c>
      <c r="C125" s="4">
        <v>42065</v>
      </c>
      <c r="D125" s="5">
        <f t="shared" si="11"/>
        <v>90</v>
      </c>
      <c r="E125" s="6">
        <f t="shared" si="7"/>
        <v>1</v>
      </c>
      <c r="F125" s="25" t="s">
        <v>429</v>
      </c>
      <c r="G125" s="3" t="s">
        <v>26</v>
      </c>
      <c r="H125" s="106" t="str">
        <f>VLOOKUP(A125,'Çalışan Listesi'!A:G,7,0)</f>
        <v>3.KADEME</v>
      </c>
      <c r="I125" s="65">
        <f>IFERROR(VLOOKUP(A125,'Kaizen Listesi'!A:H,8,0),0)</f>
        <v>0</v>
      </c>
      <c r="J125" s="65">
        <f>I125*VLOOKUP($I$2,'Kriter Ağırlık'!$A$1:$B$8,2,0)</f>
        <v>0</v>
      </c>
      <c r="K125" s="65">
        <f>IFERROR(VLOOKUP(A125,'Hata Kartı '!A:H,8,0),0)</f>
        <v>33.333333333333336</v>
      </c>
      <c r="L125" s="65">
        <f>K125*(VLOOKUP($K$2,'Kriter Ağırlık'!$A$1:$B$8,2,0))</f>
        <v>3.3333333333333339</v>
      </c>
      <c r="M125" s="65">
        <f>IFERROR(VLOOKUP(F125,'5S'!$B$8:$E$19,4,0),0)</f>
        <v>1</v>
      </c>
      <c r="N125" s="65">
        <f>VLOOKUP(M125,'5S'!$G$8:$I$14,3,1)*VLOOKUP($M$2,'Kriter Ağırlık'!$A$1:$B$8,2,0)*E125*X125</f>
        <v>7.7333333333333334</v>
      </c>
      <c r="O125" s="1">
        <f>IFERROR(VLOOKUP(A125,Devamsızlıklar!A:K,10,0),0)</f>
        <v>0</v>
      </c>
      <c r="P125" s="40">
        <f>VLOOKUP(O125,Aralıklar!$A$2:$C$5,3,1)*VLOOKUP($O$2,'Kriter Ağırlık'!$A$1:$B$8,2,0)*E125*X125</f>
        <v>9.6666666666666661</v>
      </c>
      <c r="Q125" s="1">
        <f>IFERROR(VLOOKUP(A125,Devamsızlıklar!A:K,8,0),0)</f>
        <v>0</v>
      </c>
      <c r="R125" s="33">
        <f>VLOOKUP(Q125,Aralıklar!$E$2:$G$5,3,1)</f>
        <v>1</v>
      </c>
      <c r="S125" s="33">
        <f>IFERROR(VLOOKUP(A125,Devamsızlıklar!A:K,9,0),0)</f>
        <v>3</v>
      </c>
      <c r="T125" s="33">
        <f>VLOOKUP(S125,Aralıklar!$I$2:$K$6,3,1)</f>
        <v>50</v>
      </c>
      <c r="U125" s="33">
        <f>IFERROR(VLOOKUP(A125,Devamsızlıklar!A:K,11,0),0)</f>
        <v>0</v>
      </c>
      <c r="V125" s="33">
        <f>VLOOKUP(U125,Aralıklar!$M$2:$O$6,3,1)</f>
        <v>50</v>
      </c>
      <c r="W125" s="40">
        <f>IF(X125=0,0,(T125+V125)*R125*VLOOKUP($W$2,'Kriter Ağırlık'!$A$1:$B$8,2,1)*E125)</f>
        <v>10</v>
      </c>
      <c r="X125" s="40">
        <f>IFERROR(VLOOKUP(A125,Devamsızlıklar!A:M,13,0),1)</f>
        <v>0.96666666666666667</v>
      </c>
      <c r="Y125" s="40">
        <f>(OEE!$K$6*VLOOKUP($Y$2,'Kriter Ağırlık'!$A$1:$B$8,2,1))*X125*E125</f>
        <v>33.833333333333336</v>
      </c>
      <c r="Z125" s="40">
        <f>(TELEF!$I$10*VLOOKUP($Z$2,'Kriter Ağırlık'!$A$1:$B$8,2,1))*X125*E125</f>
        <v>14.5</v>
      </c>
      <c r="AA125" s="40">
        <f t="shared" si="8"/>
        <v>79.066666666666663</v>
      </c>
      <c r="AB125" s="1">
        <v>3</v>
      </c>
      <c r="AC125" s="33">
        <f>VLOOKUP(AB125,'Kriter Ağırlık'!$A$12:$C$17,3,0)</f>
        <v>0</v>
      </c>
      <c r="AD125" s="1">
        <v>3</v>
      </c>
      <c r="AE125" s="33">
        <f>VLOOKUP(AD125,'Kriter Ağırlık'!$E$12:$G$24,3,0)</f>
        <v>1.1499999999999999</v>
      </c>
      <c r="AF125" s="92">
        <f t="shared" si="9"/>
        <v>0</v>
      </c>
      <c r="AG125" t="str">
        <f>VLOOKUP(A125,'Çalışan Listesi'!A:G,6,0)</f>
        <v>TAKIM LİDERİ</v>
      </c>
    </row>
    <row r="126" spans="1:33" x14ac:dyDescent="0.2">
      <c r="A126" s="2">
        <v>3616</v>
      </c>
      <c r="B126" s="3" t="s">
        <v>167</v>
      </c>
      <c r="C126" s="4">
        <v>42065</v>
      </c>
      <c r="D126" s="5">
        <f t="shared" si="11"/>
        <v>90</v>
      </c>
      <c r="E126" s="6">
        <f t="shared" si="7"/>
        <v>1</v>
      </c>
      <c r="F126" s="25" t="s">
        <v>427</v>
      </c>
      <c r="G126" s="3" t="s">
        <v>109</v>
      </c>
      <c r="H126" s="106" t="str">
        <f>VLOOKUP(A126,'Çalışan Listesi'!A:G,7,0)</f>
        <v>3.KADEME</v>
      </c>
      <c r="I126" s="65">
        <f>IFERROR(VLOOKUP(A126,'Kaizen Listesi'!A:H,8,0),0)</f>
        <v>0</v>
      </c>
      <c r="J126" s="65">
        <f>I126*VLOOKUP($I$2,'Kriter Ağırlık'!$A$1:$B$8,2,0)</f>
        <v>0</v>
      </c>
      <c r="K126" s="65">
        <f>IFERROR(VLOOKUP(A126,'Hata Kartı '!A:H,8,0),0)</f>
        <v>0</v>
      </c>
      <c r="L126" s="65">
        <f>K126*(VLOOKUP($K$2,'Kriter Ağırlık'!$A$1:$B$8,2,0))</f>
        <v>0</v>
      </c>
      <c r="M126" s="65">
        <f>IFERROR(VLOOKUP(F126,'5S'!$B$8:$E$19,4,0),0)</f>
        <v>1</v>
      </c>
      <c r="N126" s="65">
        <f>VLOOKUP(M126,'5S'!$G$8:$I$14,3,1)*VLOOKUP($M$2,'Kriter Ağırlık'!$A$1:$B$8,2,0)*E126*X126</f>
        <v>8</v>
      </c>
      <c r="O126" s="1">
        <f>IFERROR(VLOOKUP(A126,Devamsızlıklar!A:K,10,0),0)</f>
        <v>0</v>
      </c>
      <c r="P126" s="40">
        <f>VLOOKUP(O126,Aralıklar!$A$2:$C$5,3,1)*VLOOKUP($O$2,'Kriter Ağırlık'!$A$1:$B$8,2,0)*E126*X126</f>
        <v>10</v>
      </c>
      <c r="Q126" s="1">
        <f>IFERROR(VLOOKUP(A126,Devamsızlıklar!A:K,8,0),0)</f>
        <v>0</v>
      </c>
      <c r="R126" s="33">
        <f>VLOOKUP(Q126,Aralıklar!$E$2:$G$5,3,1)</f>
        <v>1</v>
      </c>
      <c r="S126" s="33">
        <f>IFERROR(VLOOKUP(A126,Devamsızlıklar!A:K,9,0),0)</f>
        <v>0</v>
      </c>
      <c r="T126" s="33">
        <f>VLOOKUP(S126,Aralıklar!$I$2:$K$6,3,1)</f>
        <v>50</v>
      </c>
      <c r="U126" s="33">
        <f>IFERROR(VLOOKUP(A126,Devamsızlıklar!A:K,11,0),0)</f>
        <v>0</v>
      </c>
      <c r="V126" s="33">
        <f>VLOOKUP(U126,Aralıklar!$M$2:$O$6,3,1)</f>
        <v>50</v>
      </c>
      <c r="W126" s="40">
        <f>IF(X126=0,0,(T126+V126)*R126*VLOOKUP($W$2,'Kriter Ağırlık'!$A$1:$B$8,2,1)*E126)</f>
        <v>10</v>
      </c>
      <c r="X126" s="40">
        <f>IFERROR(VLOOKUP(A126,Devamsızlıklar!A:M,13,0),1)</f>
        <v>1</v>
      </c>
      <c r="Y126" s="40">
        <f>(OEE!$K$6*VLOOKUP($Y$2,'Kriter Ağırlık'!$A$1:$B$8,2,1))*X126*E126</f>
        <v>35</v>
      </c>
      <c r="Z126" s="40">
        <f>(TELEF!$I$10*VLOOKUP($Z$2,'Kriter Ağırlık'!$A$1:$B$8,2,1))*X126*E126</f>
        <v>15</v>
      </c>
      <c r="AA126" s="40">
        <f t="shared" si="8"/>
        <v>78</v>
      </c>
      <c r="AB126" s="1">
        <v>5</v>
      </c>
      <c r="AC126" s="33">
        <f>VLOOKUP(AB126,'Kriter Ağırlık'!$A$12:$C$17,3,0)</f>
        <v>18.5</v>
      </c>
      <c r="AD126" s="1">
        <v>3</v>
      </c>
      <c r="AE126" s="33">
        <f>VLOOKUP(AD126,'Kriter Ağırlık'!$E$12:$G$24,3,0)</f>
        <v>1.1499999999999999</v>
      </c>
      <c r="AF126" s="92">
        <f t="shared" si="9"/>
        <v>1659.4499999999998</v>
      </c>
      <c r="AG126" t="str">
        <f>VLOOKUP(A126,'Çalışan Listesi'!A:G,6,0)</f>
        <v>OPERATÖR</v>
      </c>
    </row>
    <row r="127" spans="1:33" x14ac:dyDescent="0.2">
      <c r="A127" s="2">
        <v>3620</v>
      </c>
      <c r="B127" s="3" t="s">
        <v>168</v>
      </c>
      <c r="C127" s="4">
        <v>42072</v>
      </c>
      <c r="D127" s="5">
        <f t="shared" si="11"/>
        <v>90</v>
      </c>
      <c r="E127" s="6">
        <f t="shared" si="7"/>
        <v>1</v>
      </c>
      <c r="F127" s="25" t="s">
        <v>429</v>
      </c>
      <c r="G127" s="3" t="s">
        <v>46</v>
      </c>
      <c r="H127" s="106" t="str">
        <f>VLOOKUP(A127,'Çalışan Listesi'!A:G,7,0)</f>
        <v>3.KADEME</v>
      </c>
      <c r="I127" s="65">
        <f>IFERROR(VLOOKUP(A127,'Kaizen Listesi'!A:H,8,0),0)</f>
        <v>0</v>
      </c>
      <c r="J127" s="65">
        <f>I127*VLOOKUP($I$2,'Kriter Ağırlık'!$A$1:$B$8,2,0)</f>
        <v>0</v>
      </c>
      <c r="K127" s="65">
        <f>IFERROR(VLOOKUP(A127,'Hata Kartı '!A:H,8,0),0)</f>
        <v>0</v>
      </c>
      <c r="L127" s="65">
        <f>K127*(VLOOKUP($K$2,'Kriter Ağırlık'!$A$1:$B$8,2,0))</f>
        <v>0</v>
      </c>
      <c r="M127" s="65">
        <f>IFERROR(VLOOKUP(F127,'5S'!$B$8:$E$19,4,0),0)</f>
        <v>1</v>
      </c>
      <c r="N127" s="65">
        <f>VLOOKUP(M127,'5S'!$G$8:$I$14,3,1)*VLOOKUP($M$2,'Kriter Ağırlık'!$A$1:$B$8,2,0)*E127*X127</f>
        <v>8</v>
      </c>
      <c r="O127" s="1">
        <f>IFERROR(VLOOKUP(A127,Devamsızlıklar!A:K,10,0),0)</f>
        <v>0</v>
      </c>
      <c r="P127" s="40">
        <f>VLOOKUP(O127,Aralıklar!$A$2:$C$5,3,1)*VLOOKUP($O$2,'Kriter Ağırlık'!$A$1:$B$8,2,0)*E127*X127</f>
        <v>10</v>
      </c>
      <c r="Q127" s="1">
        <f>IFERROR(VLOOKUP(A127,Devamsızlıklar!A:K,8,0),0)</f>
        <v>0</v>
      </c>
      <c r="R127" s="33">
        <f>VLOOKUP(Q127,Aralıklar!$E$2:$G$5,3,1)</f>
        <v>1</v>
      </c>
      <c r="S127" s="33">
        <f>IFERROR(VLOOKUP(A127,Devamsızlıklar!A:K,9,0),0)</f>
        <v>0</v>
      </c>
      <c r="T127" s="33">
        <f>VLOOKUP(S127,Aralıklar!$I$2:$K$6,3,1)</f>
        <v>50</v>
      </c>
      <c r="U127" s="33">
        <f>IFERROR(VLOOKUP(A127,Devamsızlıklar!A:K,11,0),0)</f>
        <v>0</v>
      </c>
      <c r="V127" s="33">
        <f>VLOOKUP(U127,Aralıklar!$M$2:$O$6,3,1)</f>
        <v>50</v>
      </c>
      <c r="W127" s="40">
        <f>IF(X127=0,0,(T127+V127)*R127*VLOOKUP($W$2,'Kriter Ağırlık'!$A$1:$B$8,2,1)*E127)</f>
        <v>10</v>
      </c>
      <c r="X127" s="40">
        <f>IFERROR(VLOOKUP(A127,Devamsızlıklar!A:M,13,0),1)</f>
        <v>1</v>
      </c>
      <c r="Y127" s="40">
        <f>(OEE!$K$6*VLOOKUP($Y$2,'Kriter Ağırlık'!$A$1:$B$8,2,1))*X127*E127</f>
        <v>35</v>
      </c>
      <c r="Z127" s="40">
        <f>(TELEF!$I$10*VLOOKUP($Z$2,'Kriter Ağırlık'!$A$1:$B$8,2,1))*X127*E127</f>
        <v>15</v>
      </c>
      <c r="AA127" s="40">
        <f t="shared" si="8"/>
        <v>78</v>
      </c>
      <c r="AB127" s="1">
        <v>5</v>
      </c>
      <c r="AC127" s="33">
        <f>VLOOKUP(AB127,'Kriter Ağırlık'!$A$12:$C$17,3,0)</f>
        <v>18.5</v>
      </c>
      <c r="AD127" s="1">
        <v>3</v>
      </c>
      <c r="AE127" s="33">
        <f>VLOOKUP(AD127,'Kriter Ağırlık'!$E$12:$G$24,3,0)</f>
        <v>1.1499999999999999</v>
      </c>
      <c r="AF127" s="92">
        <f t="shared" si="9"/>
        <v>1659.4499999999998</v>
      </c>
      <c r="AG127" t="str">
        <f>VLOOKUP(A127,'Çalışan Listesi'!A:G,6,0)</f>
        <v>OPERATÖR</v>
      </c>
    </row>
    <row r="128" spans="1:33" s="103" customFormat="1" x14ac:dyDescent="0.2">
      <c r="A128" s="93">
        <v>3649</v>
      </c>
      <c r="B128" s="94" t="s">
        <v>169</v>
      </c>
      <c r="C128" s="95">
        <v>42114</v>
      </c>
      <c r="D128" s="96">
        <f t="shared" si="11"/>
        <v>90</v>
      </c>
      <c r="E128" s="97">
        <f t="shared" si="7"/>
        <v>1</v>
      </c>
      <c r="F128" s="98" t="s">
        <v>423</v>
      </c>
      <c r="G128" s="94" t="s">
        <v>170</v>
      </c>
      <c r="H128" s="106" t="str">
        <f>VLOOKUP(A128,'Çalışan Listesi'!A:G,7,0)</f>
        <v>3.KADEME</v>
      </c>
      <c r="I128" s="100">
        <f>IFERROR(VLOOKUP(A128,'Kaizen Listesi'!A:H,8,0),0)</f>
        <v>0</v>
      </c>
      <c r="J128" s="100">
        <f>I128*VLOOKUP($I$2,'Kriter Ağırlık'!$A$1:$B$8,2,0)</f>
        <v>0</v>
      </c>
      <c r="K128" s="100">
        <f>IFERROR(VLOOKUP(A128,'Hata Kartı '!A:H,8,0),0)</f>
        <v>66.666666666666671</v>
      </c>
      <c r="L128" s="100">
        <f>K128*(VLOOKUP($K$2,'Kriter Ağırlık'!$A$1:$B$8,2,0))</f>
        <v>6.6666666666666679</v>
      </c>
      <c r="M128" s="100">
        <f>IFERROR(VLOOKUP(F128,'5S'!$B$8:$E$19,4,0),0)</f>
        <v>1</v>
      </c>
      <c r="N128" s="100">
        <f>VLOOKUP(M128,'5S'!$G$8:$I$14,3,1)*VLOOKUP($M$2,'Kriter Ağırlık'!$A$1:$B$8,2,0)*E128*X128</f>
        <v>8</v>
      </c>
      <c r="O128" s="99">
        <f>IFERROR(VLOOKUP(A128,Devamsızlıklar!A:K,10,0),0)</f>
        <v>0</v>
      </c>
      <c r="P128" s="101">
        <f>VLOOKUP(O128,Aralıklar!$A$2:$C$5,3,1)*VLOOKUP($O$2,'Kriter Ağırlık'!$A$1:$B$8,2,0)*E128*X128</f>
        <v>10</v>
      </c>
      <c r="Q128" s="99">
        <f>IFERROR(VLOOKUP(A128,Devamsızlıklar!A:K,8,0),0)</f>
        <v>0</v>
      </c>
      <c r="R128" s="99">
        <f>VLOOKUP(Q128,Aralıklar!$E$2:$G$5,3,1)</f>
        <v>1</v>
      </c>
      <c r="S128" s="99">
        <f>IFERROR(VLOOKUP(A128,Devamsızlıklar!A:K,9,0),0)</f>
        <v>0</v>
      </c>
      <c r="T128" s="99">
        <f>VLOOKUP(S128,Aralıklar!$I$2:$K$6,3,1)</f>
        <v>50</v>
      </c>
      <c r="U128" s="99">
        <f>IFERROR(VLOOKUP(A128,Devamsızlıklar!A:K,11,0),0)</f>
        <v>0</v>
      </c>
      <c r="V128" s="99">
        <f>VLOOKUP(U128,Aralıklar!$M$2:$O$6,3,1)</f>
        <v>50</v>
      </c>
      <c r="W128" s="40">
        <f>IF(X128=0,0,(T128+V128)*R128*VLOOKUP($W$2,'Kriter Ağırlık'!$A$1:$B$8,2,1)*E128)</f>
        <v>10</v>
      </c>
      <c r="X128" s="101">
        <f>IFERROR(VLOOKUP(A128,Devamsızlıklar!A:M,13,0),1)</f>
        <v>1</v>
      </c>
      <c r="Y128" s="101">
        <f>(OEE!$K$6*VLOOKUP($Y$2,'Kriter Ağırlık'!$A$1:$B$8,2,1))*X128*E128</f>
        <v>35</v>
      </c>
      <c r="Z128" s="101">
        <f>(TELEF!$I$10*VLOOKUP($Z$2,'Kriter Ağırlık'!$A$1:$B$8,2,1))*X128*E128</f>
        <v>15</v>
      </c>
      <c r="AA128" s="101">
        <f t="shared" si="8"/>
        <v>84.666666666666671</v>
      </c>
      <c r="AB128" s="99">
        <v>4</v>
      </c>
      <c r="AC128" s="99">
        <f>VLOOKUP(AB128,'Kriter Ağırlık'!$A$12:$C$17,3,0)</f>
        <v>13.5</v>
      </c>
      <c r="AD128" s="99">
        <v>1</v>
      </c>
      <c r="AE128" s="99">
        <f>VLOOKUP(AD128,'Kriter Ağırlık'!$E$12:$G$24,3,0)</f>
        <v>1</v>
      </c>
      <c r="AF128" s="102">
        <f t="shared" si="9"/>
        <v>1143</v>
      </c>
      <c r="AG128" t="str">
        <f>VLOOKUP(A128,'Çalışan Listesi'!A:G,6,0)</f>
        <v>TAKIM LİDERİ YARDIMCISI</v>
      </c>
    </row>
    <row r="129" spans="1:33" x14ac:dyDescent="0.2">
      <c r="A129" s="2">
        <v>3650</v>
      </c>
      <c r="B129" s="3" t="s">
        <v>171</v>
      </c>
      <c r="C129" s="4">
        <v>42114</v>
      </c>
      <c r="D129" s="5">
        <f t="shared" si="11"/>
        <v>90</v>
      </c>
      <c r="E129" s="6">
        <f t="shared" si="7"/>
        <v>1</v>
      </c>
      <c r="F129" s="25" t="s">
        <v>431</v>
      </c>
      <c r="G129" s="3" t="s">
        <v>125</v>
      </c>
      <c r="H129" s="106" t="str">
        <f>VLOOKUP(A129,'Çalışan Listesi'!A:G,7,0)</f>
        <v>2.KADEME</v>
      </c>
      <c r="I129" s="65">
        <f>IFERROR(VLOOKUP(A129,'Kaizen Listesi'!A:H,8,0),0)</f>
        <v>0</v>
      </c>
      <c r="J129" s="65">
        <f>I129*VLOOKUP($I$2,'Kriter Ağırlık'!$A$1:$B$8,2,0)</f>
        <v>0</v>
      </c>
      <c r="K129" s="65">
        <f>IFERROR(VLOOKUP(A129,'Hata Kartı '!A:H,8,0),0)</f>
        <v>16.666666666666668</v>
      </c>
      <c r="L129" s="65">
        <f>K129*(VLOOKUP($K$2,'Kriter Ağırlık'!$A$1:$B$8,2,0))</f>
        <v>1.666666666666667</v>
      </c>
      <c r="M129" s="65">
        <f>IFERROR(VLOOKUP(F129,'5S'!$B$8:$E$19,4,0),0)</f>
        <v>1</v>
      </c>
      <c r="N129" s="65">
        <f>VLOOKUP(M129,'5S'!$G$8:$I$14,3,1)*VLOOKUP($M$2,'Kriter Ağırlık'!$A$1:$B$8,2,0)*E129*X129</f>
        <v>8</v>
      </c>
      <c r="O129" s="1">
        <f>IFERROR(VLOOKUP(A129,Devamsızlıklar!A:K,10,0),0)</f>
        <v>0</v>
      </c>
      <c r="P129" s="40">
        <f>VLOOKUP(O129,Aralıklar!$A$2:$C$5,3,1)*VLOOKUP($O$2,'Kriter Ağırlık'!$A$1:$B$8,2,0)*E129*X129</f>
        <v>10</v>
      </c>
      <c r="Q129" s="1">
        <f>IFERROR(VLOOKUP(A129,Devamsızlıklar!A:K,8,0),0)</f>
        <v>0</v>
      </c>
      <c r="R129" s="33">
        <f>VLOOKUP(Q129,Aralıklar!$E$2:$G$5,3,1)</f>
        <v>1</v>
      </c>
      <c r="S129" s="33">
        <f>IFERROR(VLOOKUP(A129,Devamsızlıklar!A:K,9,0),0)</f>
        <v>0</v>
      </c>
      <c r="T129" s="33">
        <f>VLOOKUP(S129,Aralıklar!$I$2:$K$6,3,1)</f>
        <v>50</v>
      </c>
      <c r="U129" s="33">
        <f>IFERROR(VLOOKUP(A129,Devamsızlıklar!A:K,11,0),0)</f>
        <v>0</v>
      </c>
      <c r="V129" s="33">
        <f>VLOOKUP(U129,Aralıklar!$M$2:$O$6,3,1)</f>
        <v>50</v>
      </c>
      <c r="W129" s="40">
        <f>IF(X129=0,0,(T129+V129)*R129*VLOOKUP($W$2,'Kriter Ağırlık'!$A$1:$B$8,2,1)*E129)</f>
        <v>10</v>
      </c>
      <c r="X129" s="40">
        <f>IFERROR(VLOOKUP(A129,Devamsızlıklar!A:M,13,0),1)</f>
        <v>1</v>
      </c>
      <c r="Y129" s="40">
        <f>(OEE!$K$6*VLOOKUP($Y$2,'Kriter Ağırlık'!$A$1:$B$8,2,1))*X129*E129</f>
        <v>35</v>
      </c>
      <c r="Z129" s="40">
        <f>(TELEF!$I$10*VLOOKUP($Z$2,'Kriter Ağırlık'!$A$1:$B$8,2,1))*X129*E129</f>
        <v>15</v>
      </c>
      <c r="AA129" s="40">
        <f t="shared" si="8"/>
        <v>79.666666666666671</v>
      </c>
      <c r="AB129" s="1">
        <v>5</v>
      </c>
      <c r="AC129" s="33">
        <f>VLOOKUP(AB129,'Kriter Ağırlık'!$A$12:$C$17,3,0)</f>
        <v>18.5</v>
      </c>
      <c r="AD129" s="106">
        <v>4</v>
      </c>
      <c r="AE129" s="33">
        <f>VLOOKUP(AD129,'Kriter Ağırlık'!$E$12:$G$24,3,0)</f>
        <v>1.077</v>
      </c>
      <c r="AF129" s="92">
        <f t="shared" si="9"/>
        <v>1587.3185000000001</v>
      </c>
      <c r="AG129" t="str">
        <f>VLOOKUP(A129,'Çalışan Listesi'!A:G,6,0)</f>
        <v>OPERATÖR</v>
      </c>
    </row>
    <row r="130" spans="1:33" x14ac:dyDescent="0.2">
      <c r="A130" s="2">
        <v>3655</v>
      </c>
      <c r="B130" s="3" t="s">
        <v>172</v>
      </c>
      <c r="C130" s="4">
        <v>42135</v>
      </c>
      <c r="D130" s="5">
        <f t="shared" si="11"/>
        <v>90</v>
      </c>
      <c r="E130" s="6">
        <f t="shared" ref="E130:E193" si="12">D130/90</f>
        <v>1</v>
      </c>
      <c r="F130" s="25" t="s">
        <v>429</v>
      </c>
      <c r="G130" s="3" t="s">
        <v>46</v>
      </c>
      <c r="H130" s="106" t="str">
        <f>VLOOKUP(A130,'Çalışan Listesi'!A:G,7,0)</f>
        <v>3.KADEME</v>
      </c>
      <c r="I130" s="65">
        <f>IFERROR(VLOOKUP(A130,'Kaizen Listesi'!A:H,8,0),0)</f>
        <v>0</v>
      </c>
      <c r="J130" s="65">
        <f>I130*VLOOKUP($I$2,'Kriter Ağırlık'!$A$1:$B$8,2,0)</f>
        <v>0</v>
      </c>
      <c r="K130" s="65">
        <f>IFERROR(VLOOKUP(A130,'Hata Kartı '!A:H,8,0),0)</f>
        <v>0</v>
      </c>
      <c r="L130" s="65">
        <f>K130*(VLOOKUP($K$2,'Kriter Ağırlık'!$A$1:$B$8,2,0))</f>
        <v>0</v>
      </c>
      <c r="M130" s="65">
        <f>IFERROR(VLOOKUP(F130,'5S'!$B$8:$E$19,4,0),0)</f>
        <v>1</v>
      </c>
      <c r="N130" s="65">
        <f>VLOOKUP(M130,'5S'!$G$8:$I$14,3,1)*VLOOKUP($M$2,'Kriter Ağırlık'!$A$1:$B$8,2,0)*E130*X130</f>
        <v>8</v>
      </c>
      <c r="O130" s="1">
        <f>IFERROR(VLOOKUP(A130,Devamsızlıklar!A:K,10,0),0)</f>
        <v>0</v>
      </c>
      <c r="P130" s="40">
        <f>VLOOKUP(O130,Aralıklar!$A$2:$C$5,3,1)*VLOOKUP($O$2,'Kriter Ağırlık'!$A$1:$B$8,2,0)*E130*X130</f>
        <v>10</v>
      </c>
      <c r="Q130" s="1">
        <f>IFERROR(VLOOKUP(A130,Devamsızlıklar!A:K,8,0),0)</f>
        <v>0</v>
      </c>
      <c r="R130" s="33">
        <f>VLOOKUP(Q130,Aralıklar!$E$2:$G$5,3,1)</f>
        <v>1</v>
      </c>
      <c r="S130" s="33">
        <f>IFERROR(VLOOKUP(A130,Devamsızlıklar!A:K,9,0),0)</f>
        <v>0</v>
      </c>
      <c r="T130" s="33">
        <f>VLOOKUP(S130,Aralıklar!$I$2:$K$6,3,1)</f>
        <v>50</v>
      </c>
      <c r="U130" s="33">
        <f>IFERROR(VLOOKUP(A130,Devamsızlıklar!A:K,11,0),0)</f>
        <v>0</v>
      </c>
      <c r="V130" s="33">
        <f>VLOOKUP(U130,Aralıklar!$M$2:$O$6,3,1)</f>
        <v>50</v>
      </c>
      <c r="W130" s="40">
        <f>IF(X130=0,0,(T130+V130)*R130*VLOOKUP($W$2,'Kriter Ağırlık'!$A$1:$B$8,2,1)*E130)</f>
        <v>10</v>
      </c>
      <c r="X130" s="40">
        <f>IFERROR(VLOOKUP(A130,Devamsızlıklar!A:M,13,0),1)</f>
        <v>1</v>
      </c>
      <c r="Y130" s="40">
        <f>(OEE!$K$6*VLOOKUP($Y$2,'Kriter Ağırlık'!$A$1:$B$8,2,1))*X130*E130</f>
        <v>35</v>
      </c>
      <c r="Z130" s="40">
        <f>(TELEF!$I$10*VLOOKUP($Z$2,'Kriter Ağırlık'!$A$1:$B$8,2,1))*X130*E130</f>
        <v>15</v>
      </c>
      <c r="AA130" s="40">
        <f t="shared" ref="AA130:AA193" si="13">J130+L130+N130+P130+W130+Y130+Z130</f>
        <v>78</v>
      </c>
      <c r="AB130" s="1">
        <v>5</v>
      </c>
      <c r="AC130" s="33">
        <f>VLOOKUP(AB130,'Kriter Ağırlık'!$A$12:$C$17,3,0)</f>
        <v>18.5</v>
      </c>
      <c r="AD130" s="1">
        <v>3</v>
      </c>
      <c r="AE130" s="33">
        <f>VLOOKUP(AD130,'Kriter Ağırlık'!$E$12:$G$24,3,0)</f>
        <v>1.1499999999999999</v>
      </c>
      <c r="AF130" s="92">
        <f t="shared" ref="AF130:AF193" si="14">AA130*AC130*AE130</f>
        <v>1659.4499999999998</v>
      </c>
      <c r="AG130" t="str">
        <f>VLOOKUP(A130,'Çalışan Listesi'!A:G,6,0)</f>
        <v>OPERATÖR</v>
      </c>
    </row>
    <row r="131" spans="1:33" x14ac:dyDescent="0.2">
      <c r="A131" s="2">
        <v>3656</v>
      </c>
      <c r="B131" s="3" t="s">
        <v>173</v>
      </c>
      <c r="C131" s="4">
        <v>42135</v>
      </c>
      <c r="D131" s="5">
        <f t="shared" si="11"/>
        <v>90</v>
      </c>
      <c r="E131" s="6">
        <f t="shared" si="12"/>
        <v>1</v>
      </c>
      <c r="F131" s="25" t="s">
        <v>431</v>
      </c>
      <c r="G131" s="3" t="s">
        <v>106</v>
      </c>
      <c r="H131" s="106" t="str">
        <f>VLOOKUP(A131,'Çalışan Listesi'!A:G,7,0)</f>
        <v>3.KADEME</v>
      </c>
      <c r="I131" s="65">
        <f>IFERROR(VLOOKUP(A131,'Kaizen Listesi'!A:H,8,0),0)</f>
        <v>33.333333333333336</v>
      </c>
      <c r="J131" s="65">
        <f>I131*VLOOKUP($I$2,'Kriter Ağırlık'!$A$1:$B$8,2,0)</f>
        <v>4</v>
      </c>
      <c r="K131" s="65">
        <f>IFERROR(VLOOKUP(A131,'Hata Kartı '!A:H,8,0),0)</f>
        <v>100</v>
      </c>
      <c r="L131" s="65">
        <f>K131*(VLOOKUP($K$2,'Kriter Ağırlık'!$A$1:$B$8,2,0))</f>
        <v>10</v>
      </c>
      <c r="M131" s="65">
        <f>IFERROR(VLOOKUP(F131,'5S'!$B$8:$E$19,4,0),0)</f>
        <v>1</v>
      </c>
      <c r="N131" s="65">
        <f>VLOOKUP(M131,'5S'!$G$8:$I$14,3,1)*VLOOKUP($M$2,'Kriter Ağırlık'!$A$1:$B$8,2,0)*E131*X131</f>
        <v>7.2888888888888888</v>
      </c>
      <c r="O131" s="1">
        <f>IFERROR(VLOOKUP(A131,Devamsızlıklar!A:K,10,0),0)</f>
        <v>0</v>
      </c>
      <c r="P131" s="40">
        <f>VLOOKUP(O131,Aralıklar!$A$2:$C$5,3,1)*VLOOKUP($O$2,'Kriter Ağırlık'!$A$1:$B$8,2,0)*E131*X131</f>
        <v>9.1111111111111107</v>
      </c>
      <c r="Q131" s="1">
        <f>IFERROR(VLOOKUP(A131,Devamsızlıklar!A:K,8,0),0)</f>
        <v>0</v>
      </c>
      <c r="R131" s="33">
        <f>VLOOKUP(Q131,Aralıklar!$E$2:$G$5,3,1)</f>
        <v>1</v>
      </c>
      <c r="S131" s="33">
        <f>IFERROR(VLOOKUP(A131,Devamsızlıklar!A:K,9,0),0)</f>
        <v>0</v>
      </c>
      <c r="T131" s="33">
        <f>VLOOKUP(S131,Aralıklar!$I$2:$K$6,3,1)</f>
        <v>50</v>
      </c>
      <c r="U131" s="33">
        <f>IFERROR(VLOOKUP(A131,Devamsızlıklar!A:K,11,0),0)</f>
        <v>0</v>
      </c>
      <c r="V131" s="33">
        <f>VLOOKUP(U131,Aralıklar!$M$2:$O$6,3,1)</f>
        <v>50</v>
      </c>
      <c r="W131" s="40">
        <f>IF(X131=0,0,(T131+V131)*R131*VLOOKUP($W$2,'Kriter Ağırlık'!$A$1:$B$8,2,1)*E131)</f>
        <v>10</v>
      </c>
      <c r="X131" s="40">
        <f>IFERROR(VLOOKUP(A131,Devamsızlıklar!A:M,13,0),1)</f>
        <v>0.91111111111111109</v>
      </c>
      <c r="Y131" s="40">
        <f>(OEE!$K$6*VLOOKUP($Y$2,'Kriter Ağırlık'!$A$1:$B$8,2,1))*X131*E131</f>
        <v>31.888888888888889</v>
      </c>
      <c r="Z131" s="40">
        <f>(TELEF!$I$10*VLOOKUP($Z$2,'Kriter Ağırlık'!$A$1:$B$8,2,1))*X131*E131</f>
        <v>13.666666666666666</v>
      </c>
      <c r="AA131" s="40">
        <f t="shared" si="13"/>
        <v>85.955555555555563</v>
      </c>
      <c r="AB131" s="1">
        <v>3</v>
      </c>
      <c r="AC131" s="33">
        <f>VLOOKUP(AB131,'Kriter Ağırlık'!$A$12:$C$17,3,0)</f>
        <v>0</v>
      </c>
      <c r="AD131" s="1">
        <v>3</v>
      </c>
      <c r="AE131" s="33">
        <f>VLOOKUP(AD131,'Kriter Ağırlık'!$E$12:$G$24,3,0)</f>
        <v>1.1499999999999999</v>
      </c>
      <c r="AF131" s="92">
        <f t="shared" si="14"/>
        <v>0</v>
      </c>
      <c r="AG131" t="str">
        <f>VLOOKUP(A131,'Çalışan Listesi'!A:G,6,0)</f>
        <v>TAKIM LİDERİ</v>
      </c>
    </row>
    <row r="132" spans="1:33" x14ac:dyDescent="0.2">
      <c r="A132" s="2">
        <v>3662</v>
      </c>
      <c r="B132" s="3" t="s">
        <v>174</v>
      </c>
      <c r="C132" s="4">
        <v>42158</v>
      </c>
      <c r="D132" s="5">
        <f t="shared" si="11"/>
        <v>90</v>
      </c>
      <c r="E132" s="6">
        <f t="shared" si="12"/>
        <v>1</v>
      </c>
      <c r="F132" s="25" t="s">
        <v>425</v>
      </c>
      <c r="G132" s="3" t="s">
        <v>24</v>
      </c>
      <c r="H132" s="106" t="str">
        <f>VLOOKUP(A132,'Çalışan Listesi'!A:G,7,0)</f>
        <v>1.KADEME</v>
      </c>
      <c r="I132" s="65">
        <f>IFERROR(VLOOKUP(A132,'Kaizen Listesi'!A:H,8,0),0)</f>
        <v>0</v>
      </c>
      <c r="J132" s="65">
        <f>I132*VLOOKUP($I$2,'Kriter Ağırlık'!$A$1:$B$8,2,0)</f>
        <v>0</v>
      </c>
      <c r="K132" s="65">
        <f>IFERROR(VLOOKUP(A132,'Hata Kartı '!A:H,8,0),0)</f>
        <v>0</v>
      </c>
      <c r="L132" s="65">
        <f>K132*(VLOOKUP($K$2,'Kriter Ağırlık'!$A$1:$B$8,2,0))</f>
        <v>0</v>
      </c>
      <c r="M132" s="65">
        <f>IFERROR(VLOOKUP(F132,'5S'!$B$8:$E$19,4,0),0)</f>
        <v>1</v>
      </c>
      <c r="N132" s="65">
        <f>VLOOKUP(M132,'5S'!$G$8:$I$14,3,1)*VLOOKUP($M$2,'Kriter Ağırlık'!$A$1:$B$8,2,0)*E132*X132</f>
        <v>8</v>
      </c>
      <c r="O132" s="1">
        <f>IFERROR(VLOOKUP(A132,Devamsızlıklar!A:K,10,0),0)</f>
        <v>0</v>
      </c>
      <c r="P132" s="40">
        <f>VLOOKUP(O132,Aralıklar!$A$2:$C$5,3,1)*VLOOKUP($O$2,'Kriter Ağırlık'!$A$1:$B$8,2,0)*E132*X132</f>
        <v>10</v>
      </c>
      <c r="Q132" s="1">
        <f>IFERROR(VLOOKUP(A132,Devamsızlıklar!A:K,8,0),0)</f>
        <v>0</v>
      </c>
      <c r="R132" s="33">
        <f>VLOOKUP(Q132,Aralıklar!$E$2:$G$5,3,1)</f>
        <v>1</v>
      </c>
      <c r="S132" s="33">
        <f>IFERROR(VLOOKUP(A132,Devamsızlıklar!A:K,9,0),0)</f>
        <v>0</v>
      </c>
      <c r="T132" s="33">
        <f>VLOOKUP(S132,Aralıklar!$I$2:$K$6,3,1)</f>
        <v>50</v>
      </c>
      <c r="U132" s="33">
        <f>IFERROR(VLOOKUP(A132,Devamsızlıklar!A:K,11,0),0)</f>
        <v>0</v>
      </c>
      <c r="V132" s="33">
        <f>VLOOKUP(U132,Aralıklar!$M$2:$O$6,3,1)</f>
        <v>50</v>
      </c>
      <c r="W132" s="40">
        <f>IF(X132=0,0,(T132+V132)*R132*VLOOKUP($W$2,'Kriter Ağırlık'!$A$1:$B$8,2,1)*E132)</f>
        <v>10</v>
      </c>
      <c r="X132" s="40">
        <f>IFERROR(VLOOKUP(A132,Devamsızlıklar!A:M,13,0),1)</f>
        <v>1</v>
      </c>
      <c r="Y132" s="40">
        <f>(OEE!$K$6*VLOOKUP($Y$2,'Kriter Ağırlık'!$A$1:$B$8,2,1))*X132*E132</f>
        <v>35</v>
      </c>
      <c r="Z132" s="40">
        <f>(TELEF!$I$10*VLOOKUP($Z$2,'Kriter Ağırlık'!$A$1:$B$8,2,1))*X132*E132</f>
        <v>15</v>
      </c>
      <c r="AA132" s="40">
        <f t="shared" si="13"/>
        <v>78</v>
      </c>
      <c r="AB132" s="1">
        <v>5</v>
      </c>
      <c r="AC132" s="33">
        <f>VLOOKUP(AB132,'Kriter Ağırlık'!$A$12:$C$17,3,0)</f>
        <v>18.5</v>
      </c>
      <c r="AD132" s="1">
        <v>12</v>
      </c>
      <c r="AE132" s="33">
        <f>VLOOKUP(AD132,'Kriter Ağırlık'!$E$12:$G$24,3,0)</f>
        <v>1</v>
      </c>
      <c r="AF132" s="92">
        <f t="shared" si="14"/>
        <v>1443</v>
      </c>
      <c r="AG132" t="str">
        <f>VLOOKUP(A132,'Çalışan Listesi'!A:G,6,0)</f>
        <v>TEKNİSYEN</v>
      </c>
    </row>
    <row r="133" spans="1:33" x14ac:dyDescent="0.2">
      <c r="A133" s="2">
        <v>3664</v>
      </c>
      <c r="B133" s="3" t="s">
        <v>175</v>
      </c>
      <c r="C133" s="4">
        <v>42163</v>
      </c>
      <c r="D133" s="5">
        <f t="shared" si="11"/>
        <v>90</v>
      </c>
      <c r="E133" s="6">
        <f t="shared" si="12"/>
        <v>1</v>
      </c>
      <c r="F133" s="25" t="s">
        <v>425</v>
      </c>
      <c r="G133" s="3" t="s">
        <v>24</v>
      </c>
      <c r="H133" s="106" t="str">
        <f>VLOOKUP(A133,'Çalışan Listesi'!A:G,7,0)</f>
        <v>1.KADEME</v>
      </c>
      <c r="I133" s="65">
        <f>IFERROR(VLOOKUP(A133,'Kaizen Listesi'!A:H,8,0),0)</f>
        <v>0</v>
      </c>
      <c r="J133" s="65">
        <f>I133*VLOOKUP($I$2,'Kriter Ağırlık'!$A$1:$B$8,2,0)</f>
        <v>0</v>
      </c>
      <c r="K133" s="65">
        <f>IFERROR(VLOOKUP(A133,'Hata Kartı '!A:H,8,0),0)</f>
        <v>0</v>
      </c>
      <c r="L133" s="65">
        <f>K133*(VLOOKUP($K$2,'Kriter Ağırlık'!$A$1:$B$8,2,0))</f>
        <v>0</v>
      </c>
      <c r="M133" s="65">
        <f>IFERROR(VLOOKUP(F133,'5S'!$B$8:$E$19,4,0),0)</f>
        <v>1</v>
      </c>
      <c r="N133" s="65">
        <f>VLOOKUP(M133,'5S'!$G$8:$I$14,3,1)*VLOOKUP($M$2,'Kriter Ağırlık'!$A$1:$B$8,2,0)*E133*X133</f>
        <v>7.2</v>
      </c>
      <c r="O133" s="1">
        <f>IFERROR(VLOOKUP(A133,Devamsızlıklar!A:K,10,0),0)</f>
        <v>0</v>
      </c>
      <c r="P133" s="40">
        <f>VLOOKUP(O133,Aralıklar!$A$2:$C$5,3,1)*VLOOKUP($O$2,'Kriter Ağırlık'!$A$1:$B$8,2,0)*E133*X133</f>
        <v>9</v>
      </c>
      <c r="Q133" s="1">
        <f>IFERROR(VLOOKUP(A133,Devamsızlıklar!A:K,8,0),0)</f>
        <v>0</v>
      </c>
      <c r="R133" s="33">
        <f>VLOOKUP(Q133,Aralıklar!$E$2:$G$5,3,1)</f>
        <v>1</v>
      </c>
      <c r="S133" s="33">
        <f>IFERROR(VLOOKUP(A133,Devamsızlıklar!A:K,9,0),0)</f>
        <v>3</v>
      </c>
      <c r="T133" s="33">
        <f>VLOOKUP(S133,Aralıklar!$I$2:$K$6,3,1)</f>
        <v>50</v>
      </c>
      <c r="U133" s="33">
        <f>IFERROR(VLOOKUP(A133,Devamsızlıklar!A:K,11,0),0)</f>
        <v>0</v>
      </c>
      <c r="V133" s="33">
        <f>VLOOKUP(U133,Aralıklar!$M$2:$O$6,3,1)</f>
        <v>50</v>
      </c>
      <c r="W133" s="40">
        <f>IF(X133=0,0,(T133+V133)*R133*VLOOKUP($W$2,'Kriter Ağırlık'!$A$1:$B$8,2,1)*E133)</f>
        <v>10</v>
      </c>
      <c r="X133" s="40">
        <f>IFERROR(VLOOKUP(A133,Devamsızlıklar!A:M,13,0),1)</f>
        <v>0.9</v>
      </c>
      <c r="Y133" s="40">
        <f>(OEE!$K$6*VLOOKUP($Y$2,'Kriter Ağırlık'!$A$1:$B$8,2,1))*X133*E133</f>
        <v>31.5</v>
      </c>
      <c r="Z133" s="40">
        <f>(TELEF!$I$10*VLOOKUP($Z$2,'Kriter Ağırlık'!$A$1:$B$8,2,1))*X133*E133</f>
        <v>13.5</v>
      </c>
      <c r="AA133" s="40">
        <f t="shared" si="13"/>
        <v>71.2</v>
      </c>
      <c r="AB133" s="1">
        <v>5</v>
      </c>
      <c r="AC133" s="33">
        <f>VLOOKUP(AB133,'Kriter Ağırlık'!$A$12:$C$17,3,0)</f>
        <v>18.5</v>
      </c>
      <c r="AD133" s="1">
        <v>12</v>
      </c>
      <c r="AE133" s="33">
        <f>VLOOKUP(AD133,'Kriter Ağırlık'!$E$12:$G$24,3,0)</f>
        <v>1</v>
      </c>
      <c r="AF133" s="92">
        <f t="shared" si="14"/>
        <v>1317.2</v>
      </c>
      <c r="AG133" t="str">
        <f>VLOOKUP(A133,'Çalışan Listesi'!A:G,6,0)</f>
        <v>TEKNİSYEN</v>
      </c>
    </row>
    <row r="134" spans="1:33" x14ac:dyDescent="0.2">
      <c r="A134" s="2">
        <v>3694</v>
      </c>
      <c r="B134" s="3" t="s">
        <v>176</v>
      </c>
      <c r="C134" s="4">
        <v>42240</v>
      </c>
      <c r="D134" s="5">
        <f t="shared" si="11"/>
        <v>90</v>
      </c>
      <c r="E134" s="6">
        <f t="shared" si="12"/>
        <v>1</v>
      </c>
      <c r="F134" s="25" t="s">
        <v>431</v>
      </c>
      <c r="G134" s="3" t="s">
        <v>125</v>
      </c>
      <c r="H134" s="106" t="str">
        <f>VLOOKUP(A134,'Çalışan Listesi'!A:G,7,0)</f>
        <v>3.KADEME</v>
      </c>
      <c r="I134" s="65">
        <f>IFERROR(VLOOKUP(A134,'Kaizen Listesi'!A:H,8,0),0)</f>
        <v>0</v>
      </c>
      <c r="J134" s="65">
        <f>I134*VLOOKUP($I$2,'Kriter Ağırlık'!$A$1:$B$8,2,0)</f>
        <v>0</v>
      </c>
      <c r="K134" s="65">
        <f>IFERROR(VLOOKUP(A134,'Hata Kartı '!A:H,8,0),0)</f>
        <v>50</v>
      </c>
      <c r="L134" s="65">
        <f>K134*(VLOOKUP($K$2,'Kriter Ağırlık'!$A$1:$B$8,2,0))</f>
        <v>5</v>
      </c>
      <c r="M134" s="65">
        <f>IFERROR(VLOOKUP(F134,'5S'!$B$8:$E$19,4,0),0)</f>
        <v>1</v>
      </c>
      <c r="N134" s="65">
        <f>VLOOKUP(M134,'5S'!$G$8:$I$14,3,1)*VLOOKUP($M$2,'Kriter Ağırlık'!$A$1:$B$8,2,0)*E134*X134</f>
        <v>8</v>
      </c>
      <c r="O134" s="1">
        <f>IFERROR(VLOOKUP(A134,Devamsızlıklar!A:K,10,0),0)</f>
        <v>0</v>
      </c>
      <c r="P134" s="40">
        <f>VLOOKUP(O134,Aralıklar!$A$2:$C$5,3,1)*VLOOKUP($O$2,'Kriter Ağırlık'!$A$1:$B$8,2,0)*E134*X134</f>
        <v>10</v>
      </c>
      <c r="Q134" s="1">
        <f>IFERROR(VLOOKUP(A134,Devamsızlıklar!A:K,8,0),0)</f>
        <v>0</v>
      </c>
      <c r="R134" s="33">
        <f>VLOOKUP(Q134,Aralıklar!$E$2:$G$5,3,1)</f>
        <v>1</v>
      </c>
      <c r="S134" s="33">
        <f>IFERROR(VLOOKUP(A134,Devamsızlıklar!A:K,9,0),0)</f>
        <v>0</v>
      </c>
      <c r="T134" s="33">
        <f>VLOOKUP(S134,Aralıklar!$I$2:$K$6,3,1)</f>
        <v>50</v>
      </c>
      <c r="U134" s="33">
        <f>IFERROR(VLOOKUP(A134,Devamsızlıklar!A:K,11,0),0)</f>
        <v>0</v>
      </c>
      <c r="V134" s="33">
        <f>VLOOKUP(U134,Aralıklar!$M$2:$O$6,3,1)</f>
        <v>50</v>
      </c>
      <c r="W134" s="40">
        <f>IF(X134=0,0,(T134+V134)*R134*VLOOKUP($W$2,'Kriter Ağırlık'!$A$1:$B$8,2,1)*E134)</f>
        <v>10</v>
      </c>
      <c r="X134" s="40">
        <f>IFERROR(VLOOKUP(A134,Devamsızlıklar!A:M,13,0),1)</f>
        <v>1</v>
      </c>
      <c r="Y134" s="40">
        <f>(OEE!$K$6*VLOOKUP($Y$2,'Kriter Ağırlık'!$A$1:$B$8,2,1))*X134*E134</f>
        <v>35</v>
      </c>
      <c r="Z134" s="40">
        <f>(TELEF!$I$10*VLOOKUP($Z$2,'Kriter Ağırlık'!$A$1:$B$8,2,1))*X134*E134</f>
        <v>15</v>
      </c>
      <c r="AA134" s="40">
        <f t="shared" si="13"/>
        <v>83</v>
      </c>
      <c r="AB134" s="1">
        <v>5</v>
      </c>
      <c r="AC134" s="33">
        <f>VLOOKUP(AB134,'Kriter Ağırlık'!$A$12:$C$17,3,0)</f>
        <v>18.5</v>
      </c>
      <c r="AD134" s="106">
        <v>3</v>
      </c>
      <c r="AE134" s="33">
        <f>VLOOKUP(AD134,'Kriter Ağırlık'!$E$12:$G$24,3,0)</f>
        <v>1.1499999999999999</v>
      </c>
      <c r="AF134" s="92">
        <f t="shared" si="14"/>
        <v>1765.8249999999998</v>
      </c>
      <c r="AG134" t="str">
        <f>VLOOKUP(A134,'Çalışan Listesi'!A:G,6,0)</f>
        <v>OPERATÖR</v>
      </c>
    </row>
    <row r="135" spans="1:33" x14ac:dyDescent="0.2">
      <c r="A135" s="2">
        <v>3710</v>
      </c>
      <c r="B135" s="3" t="s">
        <v>177</v>
      </c>
      <c r="C135" s="4">
        <v>42275</v>
      </c>
      <c r="D135" s="5">
        <f t="shared" si="11"/>
        <v>90</v>
      </c>
      <c r="E135" s="6">
        <f t="shared" si="12"/>
        <v>1</v>
      </c>
      <c r="F135" s="25" t="s">
        <v>429</v>
      </c>
      <c r="G135" s="3" t="s">
        <v>46</v>
      </c>
      <c r="H135" s="106" t="str">
        <f>VLOOKUP(A135,'Çalışan Listesi'!A:G,7,0)</f>
        <v>2.KADEME</v>
      </c>
      <c r="I135" s="65">
        <f>IFERROR(VLOOKUP(A135,'Kaizen Listesi'!A:H,8,0),0)</f>
        <v>0</v>
      </c>
      <c r="J135" s="65">
        <f>I135*VLOOKUP($I$2,'Kriter Ağırlık'!$A$1:$B$8,2,0)</f>
        <v>0</v>
      </c>
      <c r="K135" s="65">
        <f>IFERROR(VLOOKUP(A135,'Hata Kartı '!A:H,8,0),0)</f>
        <v>100</v>
      </c>
      <c r="L135" s="65">
        <f>K135*(VLOOKUP($K$2,'Kriter Ağırlık'!$A$1:$B$8,2,0))</f>
        <v>10</v>
      </c>
      <c r="M135" s="65">
        <f>IFERROR(VLOOKUP(F135,'5S'!$B$8:$E$19,4,0),0)</f>
        <v>1</v>
      </c>
      <c r="N135" s="65">
        <f>VLOOKUP(M135,'5S'!$G$8:$I$14,3,1)*VLOOKUP($M$2,'Kriter Ağırlık'!$A$1:$B$8,2,0)*E135*X135</f>
        <v>7.3777777777777782</v>
      </c>
      <c r="O135" s="1">
        <f>IFERROR(VLOOKUP(A135,Devamsızlıklar!A:K,10,0),0)</f>
        <v>0</v>
      </c>
      <c r="P135" s="40">
        <f>VLOOKUP(O135,Aralıklar!$A$2:$C$5,3,1)*VLOOKUP($O$2,'Kriter Ağırlık'!$A$1:$B$8,2,0)*E135*X135</f>
        <v>9.2222222222222232</v>
      </c>
      <c r="Q135" s="1">
        <f>IFERROR(VLOOKUP(A135,Devamsızlıklar!A:K,8,0),0)</f>
        <v>0</v>
      </c>
      <c r="R135" s="33">
        <f>VLOOKUP(Q135,Aralıklar!$E$2:$G$5,3,1)</f>
        <v>1</v>
      </c>
      <c r="S135" s="33">
        <f>IFERROR(VLOOKUP(A135,Devamsızlıklar!A:K,9,0),0)</f>
        <v>0</v>
      </c>
      <c r="T135" s="33">
        <f>VLOOKUP(S135,Aralıklar!$I$2:$K$6,3,1)</f>
        <v>50</v>
      </c>
      <c r="U135" s="33">
        <f>IFERROR(VLOOKUP(A135,Devamsızlıklar!A:K,11,0),0)</f>
        <v>0</v>
      </c>
      <c r="V135" s="33">
        <f>VLOOKUP(U135,Aralıklar!$M$2:$O$6,3,1)</f>
        <v>50</v>
      </c>
      <c r="W135" s="40">
        <f>IF(X135=0,0,(T135+V135)*R135*VLOOKUP($W$2,'Kriter Ağırlık'!$A$1:$B$8,2,1)*E135)</f>
        <v>10</v>
      </c>
      <c r="X135" s="40">
        <f>IFERROR(VLOOKUP(A135,Devamsızlıklar!A:M,13,0),1)</f>
        <v>0.92222222222222228</v>
      </c>
      <c r="Y135" s="40">
        <f>(OEE!$K$6*VLOOKUP($Y$2,'Kriter Ağırlık'!$A$1:$B$8,2,1))*X135*E135</f>
        <v>32.277777777777779</v>
      </c>
      <c r="Z135" s="40">
        <f>(TELEF!$I$10*VLOOKUP($Z$2,'Kriter Ağırlık'!$A$1:$B$8,2,1))*X135*E135</f>
        <v>13.833333333333334</v>
      </c>
      <c r="AA135" s="40">
        <f t="shared" si="13"/>
        <v>82.711111111111109</v>
      </c>
      <c r="AB135" s="1">
        <v>5</v>
      </c>
      <c r="AC135" s="33">
        <f>VLOOKUP(AB135,'Kriter Ağırlık'!$A$12:$C$17,3,0)</f>
        <v>18.5</v>
      </c>
      <c r="AD135" s="106">
        <v>4</v>
      </c>
      <c r="AE135" s="33">
        <f>VLOOKUP(AD135,'Kriter Ağırlık'!$E$12:$G$24,3,0)</f>
        <v>1.077</v>
      </c>
      <c r="AF135" s="92">
        <f t="shared" si="14"/>
        <v>1647.9775333333332</v>
      </c>
      <c r="AG135" t="str">
        <f>VLOOKUP(A135,'Çalışan Listesi'!A:G,6,0)</f>
        <v>OPERATÖR</v>
      </c>
    </row>
    <row r="136" spans="1:33" x14ac:dyDescent="0.2">
      <c r="A136" s="2">
        <v>3746</v>
      </c>
      <c r="B136" s="3" t="s">
        <v>178</v>
      </c>
      <c r="C136" s="4">
        <v>42367</v>
      </c>
      <c r="D136" s="5">
        <f t="shared" si="11"/>
        <v>90</v>
      </c>
      <c r="E136" s="6">
        <f t="shared" si="12"/>
        <v>1</v>
      </c>
      <c r="F136" s="25" t="s">
        <v>424</v>
      </c>
      <c r="G136" s="3" t="s">
        <v>143</v>
      </c>
      <c r="H136" s="106" t="str">
        <f>VLOOKUP(A136,'Çalışan Listesi'!A:G,7,0)</f>
        <v>3.KADEME</v>
      </c>
      <c r="I136" s="65">
        <f>IFERROR(VLOOKUP(A136,'Kaizen Listesi'!A:H,8,0),0)</f>
        <v>33.333333333333336</v>
      </c>
      <c r="J136" s="65">
        <f>I136*VLOOKUP($I$2,'Kriter Ağırlık'!$A$1:$B$8,2,0)</f>
        <v>4</v>
      </c>
      <c r="K136" s="65">
        <f>IFERROR(VLOOKUP(A136,'Hata Kartı '!A:H,8,0),0)</f>
        <v>83.333333333333329</v>
      </c>
      <c r="L136" s="65">
        <f>K136*(VLOOKUP($K$2,'Kriter Ağırlık'!$A$1:$B$8,2,0))</f>
        <v>8.3333333333333339</v>
      </c>
      <c r="M136" s="65">
        <f>IFERROR(VLOOKUP(F136,'5S'!$B$8:$E$19,4,0),0)</f>
        <v>1</v>
      </c>
      <c r="N136" s="65">
        <f>VLOOKUP(M136,'5S'!$G$8:$I$14,3,1)*VLOOKUP($M$2,'Kriter Ağırlık'!$A$1:$B$8,2,0)*E136*X136</f>
        <v>8</v>
      </c>
      <c r="O136" s="1">
        <f>IFERROR(VLOOKUP(A136,Devamsızlıklar!A:K,10,0),0)</f>
        <v>0</v>
      </c>
      <c r="P136" s="40">
        <f>VLOOKUP(O136,Aralıklar!$A$2:$C$5,3,1)*VLOOKUP($O$2,'Kriter Ağırlık'!$A$1:$B$8,2,0)*E136*X136</f>
        <v>10</v>
      </c>
      <c r="Q136" s="1">
        <f>IFERROR(VLOOKUP(A136,Devamsızlıklar!A:K,8,0),0)</f>
        <v>0</v>
      </c>
      <c r="R136" s="33">
        <f>VLOOKUP(Q136,Aralıklar!$E$2:$G$5,3,1)</f>
        <v>1</v>
      </c>
      <c r="S136" s="33">
        <f>IFERROR(VLOOKUP(A136,Devamsızlıklar!A:K,9,0),0)</f>
        <v>0</v>
      </c>
      <c r="T136" s="33">
        <f>VLOOKUP(S136,Aralıklar!$I$2:$K$6,3,1)</f>
        <v>50</v>
      </c>
      <c r="U136" s="33">
        <f>IFERROR(VLOOKUP(A136,Devamsızlıklar!A:K,11,0),0)</f>
        <v>0</v>
      </c>
      <c r="V136" s="33">
        <f>VLOOKUP(U136,Aralıklar!$M$2:$O$6,3,1)</f>
        <v>50</v>
      </c>
      <c r="W136" s="40">
        <f>IF(X136=0,0,(T136+V136)*R136*VLOOKUP($W$2,'Kriter Ağırlık'!$A$1:$B$8,2,1)*E136)</f>
        <v>10</v>
      </c>
      <c r="X136" s="40">
        <f>IFERROR(VLOOKUP(A136,Devamsızlıklar!A:M,13,0),1)</f>
        <v>1</v>
      </c>
      <c r="Y136" s="40">
        <f>(OEE!$K$6*VLOOKUP($Y$2,'Kriter Ağırlık'!$A$1:$B$8,2,1))*X136*E136</f>
        <v>35</v>
      </c>
      <c r="Z136" s="40">
        <f>(TELEF!$I$10*VLOOKUP($Z$2,'Kriter Ağırlık'!$A$1:$B$8,2,1))*X136*E136</f>
        <v>15</v>
      </c>
      <c r="AA136" s="40">
        <f t="shared" si="13"/>
        <v>90.333333333333343</v>
      </c>
      <c r="AB136" s="1">
        <v>5</v>
      </c>
      <c r="AC136" s="33">
        <f>VLOOKUP(AB136,'Kriter Ağırlık'!$A$12:$C$17,3,0)</f>
        <v>18.5</v>
      </c>
      <c r="AD136" s="1">
        <v>3</v>
      </c>
      <c r="AE136" s="33">
        <f>VLOOKUP(AD136,'Kriter Ağırlık'!$E$12:$G$24,3,0)</f>
        <v>1.1499999999999999</v>
      </c>
      <c r="AF136" s="92">
        <f t="shared" si="14"/>
        <v>1921.8416666666667</v>
      </c>
      <c r="AG136" t="str">
        <f>VLOOKUP(A136,'Çalışan Listesi'!A:G,6,0)</f>
        <v>OPERATÖR</v>
      </c>
    </row>
    <row r="137" spans="1:33" x14ac:dyDescent="0.2">
      <c r="A137" s="2">
        <v>3760</v>
      </c>
      <c r="B137" s="3" t="s">
        <v>179</v>
      </c>
      <c r="C137" s="4">
        <v>42388</v>
      </c>
      <c r="D137" s="5">
        <f t="shared" si="11"/>
        <v>90</v>
      </c>
      <c r="E137" s="6">
        <f t="shared" si="12"/>
        <v>1</v>
      </c>
      <c r="F137" s="25" t="s">
        <v>431</v>
      </c>
      <c r="G137" s="3" t="s">
        <v>125</v>
      </c>
      <c r="H137" s="106" t="str">
        <f>VLOOKUP(A137,'Çalışan Listesi'!A:G,7,0)</f>
        <v>3.KADEME</v>
      </c>
      <c r="I137" s="65">
        <f>IFERROR(VLOOKUP(A137,'Kaizen Listesi'!A:H,8,0),0)</f>
        <v>0</v>
      </c>
      <c r="J137" s="65">
        <f>I137*VLOOKUP($I$2,'Kriter Ağırlık'!$A$1:$B$8,2,0)</f>
        <v>0</v>
      </c>
      <c r="K137" s="65">
        <f>IFERROR(VLOOKUP(A137,'Hata Kartı '!A:H,8,0),0)</f>
        <v>0</v>
      </c>
      <c r="L137" s="65">
        <f>K137*(VLOOKUP($K$2,'Kriter Ağırlık'!$A$1:$B$8,2,0))</f>
        <v>0</v>
      </c>
      <c r="M137" s="65">
        <f>IFERROR(VLOOKUP(F137,'5S'!$B$8:$E$19,4,0),0)</f>
        <v>1</v>
      </c>
      <c r="N137" s="65">
        <f>VLOOKUP(M137,'5S'!$G$8:$I$14,3,1)*VLOOKUP($M$2,'Kriter Ağırlık'!$A$1:$B$8,2,0)*E137*X137</f>
        <v>8</v>
      </c>
      <c r="O137" s="1">
        <f>IFERROR(VLOOKUP(A137,Devamsızlıklar!A:K,10,0),0)</f>
        <v>0</v>
      </c>
      <c r="P137" s="40">
        <f>VLOOKUP(O137,Aralıklar!$A$2:$C$5,3,1)*VLOOKUP($O$2,'Kriter Ağırlık'!$A$1:$B$8,2,0)*E137*X137</f>
        <v>10</v>
      </c>
      <c r="Q137" s="1">
        <f>IFERROR(VLOOKUP(A137,Devamsızlıklar!A:K,8,0),0)</f>
        <v>0</v>
      </c>
      <c r="R137" s="33">
        <f>VLOOKUP(Q137,Aralıklar!$E$2:$G$5,3,1)</f>
        <v>1</v>
      </c>
      <c r="S137" s="33">
        <f>IFERROR(VLOOKUP(A137,Devamsızlıklar!A:K,9,0),0)</f>
        <v>0</v>
      </c>
      <c r="T137" s="33">
        <f>VLOOKUP(S137,Aralıklar!$I$2:$K$6,3,1)</f>
        <v>50</v>
      </c>
      <c r="U137" s="33">
        <f>IFERROR(VLOOKUP(A137,Devamsızlıklar!A:K,11,0),0)</f>
        <v>0</v>
      </c>
      <c r="V137" s="33">
        <f>VLOOKUP(U137,Aralıklar!$M$2:$O$6,3,1)</f>
        <v>50</v>
      </c>
      <c r="W137" s="40">
        <f>IF(X137=0,0,(T137+V137)*R137*VLOOKUP($W$2,'Kriter Ağırlık'!$A$1:$B$8,2,1)*E137)</f>
        <v>10</v>
      </c>
      <c r="X137" s="40">
        <f>IFERROR(VLOOKUP(A137,Devamsızlıklar!A:M,13,0),1)</f>
        <v>1</v>
      </c>
      <c r="Y137" s="40">
        <f>(OEE!$K$6*VLOOKUP($Y$2,'Kriter Ağırlık'!$A$1:$B$8,2,1))*X137*E137</f>
        <v>35</v>
      </c>
      <c r="Z137" s="40">
        <f>(TELEF!$I$10*VLOOKUP($Z$2,'Kriter Ağırlık'!$A$1:$B$8,2,1))*X137*E137</f>
        <v>15</v>
      </c>
      <c r="AA137" s="40">
        <f t="shared" si="13"/>
        <v>78</v>
      </c>
      <c r="AB137" s="1">
        <v>5</v>
      </c>
      <c r="AC137" s="33">
        <f>VLOOKUP(AB137,'Kriter Ağırlık'!$A$12:$C$17,3,0)</f>
        <v>18.5</v>
      </c>
      <c r="AD137" s="106">
        <v>3</v>
      </c>
      <c r="AE137" s="33">
        <f>VLOOKUP(AD137,'Kriter Ağırlık'!$E$12:$G$24,3,0)</f>
        <v>1.1499999999999999</v>
      </c>
      <c r="AF137" s="92">
        <f t="shared" si="14"/>
        <v>1659.4499999999998</v>
      </c>
      <c r="AG137" t="str">
        <f>VLOOKUP(A137,'Çalışan Listesi'!A:G,6,0)</f>
        <v>OPERATÖR</v>
      </c>
    </row>
    <row r="138" spans="1:33" x14ac:dyDescent="0.2">
      <c r="A138" s="2">
        <v>3770</v>
      </c>
      <c r="B138" s="3" t="s">
        <v>180</v>
      </c>
      <c r="C138" s="4">
        <v>42423</v>
      </c>
      <c r="D138" s="5">
        <f t="shared" si="11"/>
        <v>90</v>
      </c>
      <c r="E138" s="6">
        <f t="shared" si="12"/>
        <v>1</v>
      </c>
      <c r="F138" s="25" t="s">
        <v>422</v>
      </c>
      <c r="G138" s="3" t="s">
        <v>54</v>
      </c>
      <c r="H138" s="106" t="str">
        <f>VLOOKUP(A138,'Çalışan Listesi'!A:G,7,0)</f>
        <v>2.KADEME</v>
      </c>
      <c r="I138" s="65">
        <f>IFERROR(VLOOKUP(A138,'Kaizen Listesi'!A:H,8,0),0)</f>
        <v>0</v>
      </c>
      <c r="J138" s="65">
        <f>I138*VLOOKUP($I$2,'Kriter Ağırlık'!$A$1:$B$8,2,0)</f>
        <v>0</v>
      </c>
      <c r="K138" s="65">
        <f>IFERROR(VLOOKUP(A138,'Hata Kartı '!A:H,8,0),0)</f>
        <v>0</v>
      </c>
      <c r="L138" s="65">
        <f>K138*(VLOOKUP($K$2,'Kriter Ağırlık'!$A$1:$B$8,2,0))</f>
        <v>0</v>
      </c>
      <c r="M138" s="65">
        <f>IFERROR(VLOOKUP(F138,'5S'!$B$8:$E$19,4,0),0)</f>
        <v>1</v>
      </c>
      <c r="N138" s="65">
        <f>VLOOKUP(M138,'5S'!$G$8:$I$14,3,1)*VLOOKUP($M$2,'Kriter Ağırlık'!$A$1:$B$8,2,0)*E138*X138</f>
        <v>7.2888888888888888</v>
      </c>
      <c r="O138" s="1">
        <f>IFERROR(VLOOKUP(A138,Devamsızlıklar!A:K,10,0),0)</f>
        <v>0</v>
      </c>
      <c r="P138" s="40">
        <f>VLOOKUP(O138,Aralıklar!$A$2:$C$5,3,1)*VLOOKUP($O$2,'Kriter Ağırlık'!$A$1:$B$8,2,0)*E138*X138</f>
        <v>9.1111111111111107</v>
      </c>
      <c r="Q138" s="1">
        <f>IFERROR(VLOOKUP(A138,Devamsızlıklar!A:K,8,0),0)</f>
        <v>0</v>
      </c>
      <c r="R138" s="33">
        <f>VLOOKUP(Q138,Aralıklar!$E$2:$G$5,3,1)</f>
        <v>1</v>
      </c>
      <c r="S138" s="33">
        <f>IFERROR(VLOOKUP(A138,Devamsızlıklar!A:K,9,0),0)</f>
        <v>2</v>
      </c>
      <c r="T138" s="33">
        <f>VLOOKUP(S138,Aralıklar!$I$2:$K$6,3,1)</f>
        <v>50</v>
      </c>
      <c r="U138" s="33">
        <f>IFERROR(VLOOKUP(A138,Devamsızlıklar!A:K,11,0),0)</f>
        <v>0</v>
      </c>
      <c r="V138" s="33">
        <f>VLOOKUP(U138,Aralıklar!$M$2:$O$6,3,1)</f>
        <v>50</v>
      </c>
      <c r="W138" s="40">
        <f>IF(X138=0,0,(T138+V138)*R138*VLOOKUP($W$2,'Kriter Ağırlık'!$A$1:$B$8,2,1)*E138)</f>
        <v>10</v>
      </c>
      <c r="X138" s="40">
        <f>IFERROR(VLOOKUP(A138,Devamsızlıklar!A:M,13,0),1)</f>
        <v>0.91111111111111109</v>
      </c>
      <c r="Y138" s="40">
        <f>(OEE!$K$6*VLOOKUP($Y$2,'Kriter Ağırlık'!$A$1:$B$8,2,1))*X138*E138</f>
        <v>31.888888888888889</v>
      </c>
      <c r="Z138" s="40">
        <f>(TELEF!$I$10*VLOOKUP($Z$2,'Kriter Ağırlık'!$A$1:$B$8,2,1))*X138*E138</f>
        <v>13.666666666666666</v>
      </c>
      <c r="AA138" s="40">
        <f t="shared" si="13"/>
        <v>71.955555555555563</v>
      </c>
      <c r="AB138" s="1">
        <v>5</v>
      </c>
      <c r="AC138" s="33">
        <f>VLOOKUP(AB138,'Kriter Ağırlık'!$A$12:$C$17,3,0)</f>
        <v>18.5</v>
      </c>
      <c r="AD138" s="106">
        <v>4</v>
      </c>
      <c r="AE138" s="33">
        <f>VLOOKUP(AD138,'Kriter Ağırlık'!$E$12:$G$24,3,0)</f>
        <v>1.077</v>
      </c>
      <c r="AF138" s="92">
        <f t="shared" si="14"/>
        <v>1433.6784666666667</v>
      </c>
      <c r="AG138" t="str">
        <f>VLOOKUP(A138,'Çalışan Listesi'!A:G,6,0)</f>
        <v>OPERATÖR</v>
      </c>
    </row>
    <row r="139" spans="1:33" x14ac:dyDescent="0.2">
      <c r="A139" s="2">
        <v>3796</v>
      </c>
      <c r="B139" s="3" t="s">
        <v>181</v>
      </c>
      <c r="C139" s="4">
        <v>42464</v>
      </c>
      <c r="D139" s="5">
        <f t="shared" si="11"/>
        <v>90</v>
      </c>
      <c r="E139" s="6">
        <f t="shared" si="12"/>
        <v>1</v>
      </c>
      <c r="F139" s="25" t="s">
        <v>429</v>
      </c>
      <c r="G139" s="3" t="s">
        <v>26</v>
      </c>
      <c r="H139" s="106" t="str">
        <f>VLOOKUP(A139,'Çalışan Listesi'!A:G,7,0)</f>
        <v>3.KADEME</v>
      </c>
      <c r="I139" s="65">
        <f>IFERROR(VLOOKUP(A139,'Kaizen Listesi'!A:H,8,0),0)</f>
        <v>0</v>
      </c>
      <c r="J139" s="65">
        <f>I139*VLOOKUP($I$2,'Kriter Ağırlık'!$A$1:$B$8,2,0)</f>
        <v>0</v>
      </c>
      <c r="K139" s="65">
        <f>IFERROR(VLOOKUP(A139,'Hata Kartı '!A:H,8,0),0)</f>
        <v>33.333333333333336</v>
      </c>
      <c r="L139" s="65">
        <f>K139*(VLOOKUP($K$2,'Kriter Ağırlık'!$A$1:$B$8,2,0))</f>
        <v>3.3333333333333339</v>
      </c>
      <c r="M139" s="65">
        <f>IFERROR(VLOOKUP(F139,'5S'!$B$8:$E$19,4,0),0)</f>
        <v>1</v>
      </c>
      <c r="N139" s="65">
        <f>VLOOKUP(M139,'5S'!$G$8:$I$14,3,1)*VLOOKUP($M$2,'Kriter Ağırlık'!$A$1:$B$8,2,0)*E139*X139</f>
        <v>8</v>
      </c>
      <c r="O139" s="1">
        <f>IFERROR(VLOOKUP(A139,Devamsızlıklar!A:K,10,0),0)</f>
        <v>0</v>
      </c>
      <c r="P139" s="40">
        <f>VLOOKUP(O139,Aralıklar!$A$2:$C$5,3,1)*VLOOKUP($O$2,'Kriter Ağırlık'!$A$1:$B$8,2,0)*E139*X139</f>
        <v>10</v>
      </c>
      <c r="Q139" s="1">
        <f>IFERROR(VLOOKUP(A139,Devamsızlıklar!A:K,8,0),0)</f>
        <v>0</v>
      </c>
      <c r="R139" s="33">
        <f>VLOOKUP(Q139,Aralıklar!$E$2:$G$5,3,1)</f>
        <v>1</v>
      </c>
      <c r="S139" s="33">
        <f>IFERROR(VLOOKUP(A139,Devamsızlıklar!A:K,9,0),0)</f>
        <v>0</v>
      </c>
      <c r="T139" s="33">
        <f>VLOOKUP(S139,Aralıklar!$I$2:$K$6,3,1)</f>
        <v>50</v>
      </c>
      <c r="U139" s="33">
        <f>IFERROR(VLOOKUP(A139,Devamsızlıklar!A:K,11,0),0)</f>
        <v>0</v>
      </c>
      <c r="V139" s="33">
        <f>VLOOKUP(U139,Aralıklar!$M$2:$O$6,3,1)</f>
        <v>50</v>
      </c>
      <c r="W139" s="40">
        <f>IF(X139=0,0,(T139+V139)*R139*VLOOKUP($W$2,'Kriter Ağırlık'!$A$1:$B$8,2,1)*E139)</f>
        <v>10</v>
      </c>
      <c r="X139" s="40">
        <f>IFERROR(VLOOKUP(A139,Devamsızlıklar!A:M,13,0),1)</f>
        <v>1</v>
      </c>
      <c r="Y139" s="40">
        <f>(OEE!$K$6*VLOOKUP($Y$2,'Kriter Ağırlık'!$A$1:$B$8,2,1))*X139*E139</f>
        <v>35</v>
      </c>
      <c r="Z139" s="40">
        <f>(TELEF!$I$10*VLOOKUP($Z$2,'Kriter Ağırlık'!$A$1:$B$8,2,1))*X139*E139</f>
        <v>15</v>
      </c>
      <c r="AA139" s="40">
        <f t="shared" si="13"/>
        <v>81.333333333333343</v>
      </c>
      <c r="AB139" s="1">
        <v>3</v>
      </c>
      <c r="AC139" s="33">
        <f>VLOOKUP(AB139,'Kriter Ağırlık'!$A$12:$C$17,3,0)</f>
        <v>0</v>
      </c>
      <c r="AD139" s="1">
        <v>3</v>
      </c>
      <c r="AE139" s="33">
        <f>VLOOKUP(AD139,'Kriter Ağırlık'!$E$12:$G$24,3,0)</f>
        <v>1.1499999999999999</v>
      </c>
      <c r="AF139" s="92">
        <f t="shared" si="14"/>
        <v>0</v>
      </c>
      <c r="AG139" t="str">
        <f>VLOOKUP(A139,'Çalışan Listesi'!A:G,6,0)</f>
        <v>TAKIM LİDERİ</v>
      </c>
    </row>
    <row r="140" spans="1:33" x14ac:dyDescent="0.2">
      <c r="A140" s="2">
        <v>3800</v>
      </c>
      <c r="B140" s="3" t="s">
        <v>182</v>
      </c>
      <c r="C140" s="4">
        <v>42478</v>
      </c>
      <c r="D140" s="5">
        <f t="shared" si="11"/>
        <v>90</v>
      </c>
      <c r="E140" s="6">
        <f t="shared" si="12"/>
        <v>1</v>
      </c>
      <c r="F140" s="25" t="s">
        <v>421</v>
      </c>
      <c r="G140" s="3" t="s">
        <v>10</v>
      </c>
      <c r="H140" s="106" t="str">
        <f>VLOOKUP(A140,'Çalışan Listesi'!A:G,7,0)</f>
        <v>3.KADEME</v>
      </c>
      <c r="I140" s="65">
        <f>IFERROR(VLOOKUP(A140,'Kaizen Listesi'!A:H,8,0),0)</f>
        <v>0</v>
      </c>
      <c r="J140" s="65">
        <f>I140*VLOOKUP($I$2,'Kriter Ağırlık'!$A$1:$B$8,2,0)</f>
        <v>0</v>
      </c>
      <c r="K140" s="65">
        <f>IFERROR(VLOOKUP(A140,'Hata Kartı '!A:H,8,0),0)</f>
        <v>50</v>
      </c>
      <c r="L140" s="65">
        <f>K140*(VLOOKUP($K$2,'Kriter Ağırlık'!$A$1:$B$8,2,0))</f>
        <v>5</v>
      </c>
      <c r="M140" s="65">
        <f>IFERROR(VLOOKUP(F140,'5S'!$B$8:$E$19,4,0),0)</f>
        <v>1</v>
      </c>
      <c r="N140" s="65">
        <f>VLOOKUP(M140,'5S'!$G$8:$I$14,3,1)*VLOOKUP($M$2,'Kriter Ağırlık'!$A$1:$B$8,2,0)*E140*X140</f>
        <v>8</v>
      </c>
      <c r="O140" s="1">
        <f>IFERROR(VLOOKUP(A140,Devamsızlıklar!A:K,10,0),0)</f>
        <v>0</v>
      </c>
      <c r="P140" s="40">
        <f>VLOOKUP(O140,Aralıklar!$A$2:$C$5,3,1)*VLOOKUP($O$2,'Kriter Ağırlık'!$A$1:$B$8,2,0)*E140*X140</f>
        <v>10</v>
      </c>
      <c r="Q140" s="1">
        <f>IFERROR(VLOOKUP(A140,Devamsızlıklar!A:K,8,0),0)</f>
        <v>0</v>
      </c>
      <c r="R140" s="33">
        <f>VLOOKUP(Q140,Aralıklar!$E$2:$G$5,3,1)</f>
        <v>1</v>
      </c>
      <c r="S140" s="33">
        <f>IFERROR(VLOOKUP(A140,Devamsızlıklar!A:K,9,0),0)</f>
        <v>0</v>
      </c>
      <c r="T140" s="33">
        <f>VLOOKUP(S140,Aralıklar!$I$2:$K$6,3,1)</f>
        <v>50</v>
      </c>
      <c r="U140" s="33">
        <f>IFERROR(VLOOKUP(A140,Devamsızlıklar!A:K,11,0),0)</f>
        <v>0</v>
      </c>
      <c r="V140" s="33">
        <f>VLOOKUP(U140,Aralıklar!$M$2:$O$6,3,1)</f>
        <v>50</v>
      </c>
      <c r="W140" s="40">
        <f>IF(X140=0,0,(T140+V140)*R140*VLOOKUP($W$2,'Kriter Ağırlık'!$A$1:$B$8,2,1)*E140)</f>
        <v>10</v>
      </c>
      <c r="X140" s="40">
        <f>IFERROR(VLOOKUP(A140,Devamsızlıklar!A:M,13,0),1)</f>
        <v>1</v>
      </c>
      <c r="Y140" s="40">
        <f>(OEE!$K$6*VLOOKUP($Y$2,'Kriter Ağırlık'!$A$1:$B$8,2,1))*X140*E140</f>
        <v>35</v>
      </c>
      <c r="Z140" s="40">
        <f>(TELEF!$I$10*VLOOKUP($Z$2,'Kriter Ağırlık'!$A$1:$B$8,2,1))*X140*E140</f>
        <v>15</v>
      </c>
      <c r="AA140" s="40">
        <f t="shared" si="13"/>
        <v>83</v>
      </c>
      <c r="AB140" s="1">
        <v>5</v>
      </c>
      <c r="AC140" s="33">
        <f>VLOOKUP(AB140,'Kriter Ağırlık'!$A$12:$C$17,3,0)</f>
        <v>18.5</v>
      </c>
      <c r="AD140" s="1">
        <v>3</v>
      </c>
      <c r="AE140" s="33">
        <f>VLOOKUP(AD140,'Kriter Ağırlık'!$E$12:$G$24,3,0)</f>
        <v>1.1499999999999999</v>
      </c>
      <c r="AF140" s="92">
        <f t="shared" si="14"/>
        <v>1765.8249999999998</v>
      </c>
      <c r="AG140" t="str">
        <f>VLOOKUP(A140,'Çalışan Listesi'!A:G,6,0)</f>
        <v>OPERATÖR</v>
      </c>
    </row>
    <row r="141" spans="1:33" x14ac:dyDescent="0.2">
      <c r="A141" s="2">
        <v>3801</v>
      </c>
      <c r="B141" s="3" t="s">
        <v>183</v>
      </c>
      <c r="C141" s="4">
        <v>42478</v>
      </c>
      <c r="D141" s="5">
        <f t="shared" si="11"/>
        <v>90</v>
      </c>
      <c r="E141" s="6">
        <f t="shared" si="12"/>
        <v>1</v>
      </c>
      <c r="F141" s="25" t="s">
        <v>421</v>
      </c>
      <c r="G141" s="3" t="s">
        <v>10</v>
      </c>
      <c r="H141" s="106" t="str">
        <f>VLOOKUP(A141,'Çalışan Listesi'!A:G,7,0)</f>
        <v>3.KADEME</v>
      </c>
      <c r="I141" s="65">
        <f>IFERROR(VLOOKUP(A141,'Kaizen Listesi'!A:H,8,0),0)</f>
        <v>0</v>
      </c>
      <c r="J141" s="65">
        <f>I141*VLOOKUP($I$2,'Kriter Ağırlık'!$A$1:$B$8,2,0)</f>
        <v>0</v>
      </c>
      <c r="K141" s="65">
        <f>IFERROR(VLOOKUP(A141,'Hata Kartı '!A:H,8,0),0)</f>
        <v>0</v>
      </c>
      <c r="L141" s="65">
        <f>K141*(VLOOKUP($K$2,'Kriter Ağırlık'!$A$1:$B$8,2,0))</f>
        <v>0</v>
      </c>
      <c r="M141" s="65">
        <f>IFERROR(VLOOKUP(F141,'5S'!$B$8:$E$19,4,0),0)</f>
        <v>1</v>
      </c>
      <c r="N141" s="65">
        <f>VLOOKUP(M141,'5S'!$G$8:$I$14,3,1)*VLOOKUP($M$2,'Kriter Ağırlık'!$A$1:$B$8,2,0)*E141*X141</f>
        <v>8</v>
      </c>
      <c r="O141" s="1">
        <f>IFERROR(VLOOKUP(A141,Devamsızlıklar!A:K,10,0),0)</f>
        <v>0</v>
      </c>
      <c r="P141" s="40">
        <f>VLOOKUP(O141,Aralıklar!$A$2:$C$5,3,1)*VLOOKUP($O$2,'Kriter Ağırlık'!$A$1:$B$8,2,0)*E141*X141</f>
        <v>10</v>
      </c>
      <c r="Q141" s="1">
        <f>IFERROR(VLOOKUP(A141,Devamsızlıklar!A:K,8,0),0)</f>
        <v>0</v>
      </c>
      <c r="R141" s="33">
        <f>VLOOKUP(Q141,Aralıklar!$E$2:$G$5,3,1)</f>
        <v>1</v>
      </c>
      <c r="S141" s="33">
        <f>IFERROR(VLOOKUP(A141,Devamsızlıklar!A:K,9,0),0)</f>
        <v>0</v>
      </c>
      <c r="T141" s="33">
        <f>VLOOKUP(S141,Aralıklar!$I$2:$K$6,3,1)</f>
        <v>50</v>
      </c>
      <c r="U141" s="33">
        <f>IFERROR(VLOOKUP(A141,Devamsızlıklar!A:K,11,0),0)</f>
        <v>0</v>
      </c>
      <c r="V141" s="33">
        <f>VLOOKUP(U141,Aralıklar!$M$2:$O$6,3,1)</f>
        <v>50</v>
      </c>
      <c r="W141" s="40">
        <f>IF(X141=0,0,(T141+V141)*R141*VLOOKUP($W$2,'Kriter Ağırlık'!$A$1:$B$8,2,1)*E141)</f>
        <v>10</v>
      </c>
      <c r="X141" s="40">
        <f>IFERROR(VLOOKUP(A141,Devamsızlıklar!A:M,13,0),1)</f>
        <v>1</v>
      </c>
      <c r="Y141" s="40">
        <f>(OEE!$K$6*VLOOKUP($Y$2,'Kriter Ağırlık'!$A$1:$B$8,2,1))*X141*E141</f>
        <v>35</v>
      </c>
      <c r="Z141" s="40">
        <f>(TELEF!$I$10*VLOOKUP($Z$2,'Kriter Ağırlık'!$A$1:$B$8,2,1))*X141*E141</f>
        <v>15</v>
      </c>
      <c r="AA141" s="40">
        <f t="shared" si="13"/>
        <v>78</v>
      </c>
      <c r="AB141" s="1">
        <v>5</v>
      </c>
      <c r="AC141" s="33">
        <f>VLOOKUP(AB141,'Kriter Ağırlık'!$A$12:$C$17,3,0)</f>
        <v>18.5</v>
      </c>
      <c r="AD141" s="1">
        <v>3</v>
      </c>
      <c r="AE141" s="33">
        <f>VLOOKUP(AD141,'Kriter Ağırlık'!$E$12:$G$24,3,0)</f>
        <v>1.1499999999999999</v>
      </c>
      <c r="AF141" s="92">
        <f t="shared" si="14"/>
        <v>1659.4499999999998</v>
      </c>
      <c r="AG141" t="str">
        <f>VLOOKUP(A141,'Çalışan Listesi'!A:G,6,0)</f>
        <v>OPERATÖR</v>
      </c>
    </row>
    <row r="142" spans="1:33" x14ac:dyDescent="0.2">
      <c r="A142" s="2">
        <v>3802</v>
      </c>
      <c r="B142" s="3" t="s">
        <v>184</v>
      </c>
      <c r="C142" s="4">
        <v>42478</v>
      </c>
      <c r="D142" s="5">
        <f t="shared" si="11"/>
        <v>90</v>
      </c>
      <c r="E142" s="6">
        <f t="shared" si="12"/>
        <v>1</v>
      </c>
      <c r="F142" s="25" t="s">
        <v>422</v>
      </c>
      <c r="G142" s="3" t="s">
        <v>54</v>
      </c>
      <c r="H142" s="106" t="str">
        <f>VLOOKUP(A142,'Çalışan Listesi'!A:G,7,0)</f>
        <v>3.KADEME</v>
      </c>
      <c r="I142" s="65">
        <f>IFERROR(VLOOKUP(A142,'Kaizen Listesi'!A:H,8,0),0)</f>
        <v>0</v>
      </c>
      <c r="J142" s="65">
        <f>I142*VLOOKUP($I$2,'Kriter Ağırlık'!$A$1:$B$8,2,0)</f>
        <v>0</v>
      </c>
      <c r="K142" s="65">
        <f>IFERROR(VLOOKUP(A142,'Hata Kartı '!A:H,8,0),0)</f>
        <v>0</v>
      </c>
      <c r="L142" s="65">
        <f>K142*(VLOOKUP($K$2,'Kriter Ağırlık'!$A$1:$B$8,2,0))</f>
        <v>0</v>
      </c>
      <c r="M142" s="65">
        <f>IFERROR(VLOOKUP(F142,'5S'!$B$8:$E$19,4,0),0)</f>
        <v>1</v>
      </c>
      <c r="N142" s="65">
        <f>VLOOKUP(M142,'5S'!$G$8:$I$14,3,1)*VLOOKUP($M$2,'Kriter Ağırlık'!$A$1:$B$8,2,0)*E142*X142</f>
        <v>8</v>
      </c>
      <c r="O142" s="1">
        <f>IFERROR(VLOOKUP(A142,Devamsızlıklar!A:K,10,0),0)</f>
        <v>0</v>
      </c>
      <c r="P142" s="40">
        <f>VLOOKUP(O142,Aralıklar!$A$2:$C$5,3,1)*VLOOKUP($O$2,'Kriter Ağırlık'!$A$1:$B$8,2,0)*E142*X142</f>
        <v>10</v>
      </c>
      <c r="Q142" s="1">
        <f>IFERROR(VLOOKUP(A142,Devamsızlıklar!A:K,8,0),0)</f>
        <v>0</v>
      </c>
      <c r="R142" s="33">
        <f>VLOOKUP(Q142,Aralıklar!$E$2:$G$5,3,1)</f>
        <v>1</v>
      </c>
      <c r="S142" s="33">
        <f>IFERROR(VLOOKUP(A142,Devamsızlıklar!A:K,9,0),0)</f>
        <v>0</v>
      </c>
      <c r="T142" s="33">
        <f>VLOOKUP(S142,Aralıklar!$I$2:$K$6,3,1)</f>
        <v>50</v>
      </c>
      <c r="U142" s="33">
        <f>IFERROR(VLOOKUP(A142,Devamsızlıklar!A:K,11,0),0)</f>
        <v>0</v>
      </c>
      <c r="V142" s="33">
        <f>VLOOKUP(U142,Aralıklar!$M$2:$O$6,3,1)</f>
        <v>50</v>
      </c>
      <c r="W142" s="40">
        <f>IF(X142=0,0,(T142+V142)*R142*VLOOKUP($W$2,'Kriter Ağırlık'!$A$1:$B$8,2,1)*E142)</f>
        <v>10</v>
      </c>
      <c r="X142" s="40">
        <f>IFERROR(VLOOKUP(A142,Devamsızlıklar!A:M,13,0),1)</f>
        <v>1</v>
      </c>
      <c r="Y142" s="40">
        <f>(OEE!$K$6*VLOOKUP($Y$2,'Kriter Ağırlık'!$A$1:$B$8,2,1))*X142*E142</f>
        <v>35</v>
      </c>
      <c r="Z142" s="40">
        <f>(TELEF!$I$10*VLOOKUP($Z$2,'Kriter Ağırlık'!$A$1:$B$8,2,1))*X142*E142</f>
        <v>15</v>
      </c>
      <c r="AA142" s="40">
        <f t="shared" si="13"/>
        <v>78</v>
      </c>
      <c r="AB142" s="1">
        <v>5</v>
      </c>
      <c r="AC142" s="33">
        <f>VLOOKUP(AB142,'Kriter Ağırlık'!$A$12:$C$17,3,0)</f>
        <v>18.5</v>
      </c>
      <c r="AD142" s="1">
        <v>3</v>
      </c>
      <c r="AE142" s="33">
        <f>VLOOKUP(AD142,'Kriter Ağırlık'!$E$12:$G$24,3,0)</f>
        <v>1.1499999999999999</v>
      </c>
      <c r="AF142" s="92">
        <f t="shared" si="14"/>
        <v>1659.4499999999998</v>
      </c>
      <c r="AG142" t="str">
        <f>VLOOKUP(A142,'Çalışan Listesi'!A:G,6,0)</f>
        <v>OPERATÖR</v>
      </c>
    </row>
    <row r="143" spans="1:33" s="122" customFormat="1" x14ac:dyDescent="0.2">
      <c r="A143" s="112">
        <v>3805</v>
      </c>
      <c r="B143" s="113" t="s">
        <v>185</v>
      </c>
      <c r="C143" s="114">
        <v>42496</v>
      </c>
      <c r="D143" s="115">
        <v>60</v>
      </c>
      <c r="E143" s="116">
        <f t="shared" si="12"/>
        <v>0.66666666666666663</v>
      </c>
      <c r="F143" s="117" t="s">
        <v>421</v>
      </c>
      <c r="G143" s="113" t="s">
        <v>99</v>
      </c>
      <c r="H143" s="118" t="str">
        <f>VLOOKUP(A143,'Çalışan Listesi'!A:G,7,0)</f>
        <v>3.KADEME</v>
      </c>
      <c r="I143" s="119">
        <f>IFERROR(VLOOKUP(A143,'Kaizen Listesi'!A:H,8,0),0)</f>
        <v>0</v>
      </c>
      <c r="J143" s="119">
        <f>I143*VLOOKUP($I$2,'Kriter Ağırlık'!$A$1:$B$8,2,0)</f>
        <v>0</v>
      </c>
      <c r="K143" s="119">
        <f>IFERROR(VLOOKUP(A143,'Hata Kartı '!A:H,8,0),0)</f>
        <v>50</v>
      </c>
      <c r="L143" s="119">
        <f>K143*(VLOOKUP($K$2,'Kriter Ağırlık'!$A$1:$B$8,2,0))</f>
        <v>5</v>
      </c>
      <c r="M143" s="119">
        <f>IFERROR(VLOOKUP(F143,'5S'!$B$8:$E$19,4,0),0)</f>
        <v>1</v>
      </c>
      <c r="N143" s="119">
        <f>VLOOKUP(M143,'5S'!$G$8:$I$14,3,1)*VLOOKUP($M$2,'Kriter Ağırlık'!$A$1:$B$8,2,0)*E143*X143</f>
        <v>3.7333333333333329</v>
      </c>
      <c r="O143" s="118">
        <f>IFERROR(VLOOKUP(A143,Devamsızlıklar!A:K,10,0),0)</f>
        <v>17</v>
      </c>
      <c r="P143" s="120">
        <f>VLOOKUP(O143,Aralıklar!$A$2:$C$5,3,1)*VLOOKUP($O$2,'Kriter Ağırlık'!$A$1:$B$8,2,0)*E143*X143</f>
        <v>0</v>
      </c>
      <c r="Q143" s="76">
        <f>IFERROR(VLOOKUP(A143,Devamsızlıklar!A:K,8,0),0)</f>
        <v>0</v>
      </c>
      <c r="R143" s="76">
        <f>VLOOKUP(Q143,Aralıklar!$E$2:$G$5,3,1)</f>
        <v>1</v>
      </c>
      <c r="S143" s="76">
        <f>IFERROR(VLOOKUP(A143,Devamsızlıklar!A:K,9,0),0)</f>
        <v>1</v>
      </c>
      <c r="T143" s="76">
        <f>VLOOKUP(S143,Aralıklar!$I$2:$K$6,3,1)</f>
        <v>50</v>
      </c>
      <c r="U143" s="76">
        <f>IFERROR(VLOOKUP(A143,Devamsızlıklar!A:K,11,0),0)</f>
        <v>0</v>
      </c>
      <c r="V143" s="76">
        <f>VLOOKUP(U143,Aralıklar!$M$2:$O$6,3,1)</f>
        <v>50</v>
      </c>
      <c r="W143" s="120">
        <f>IF(X143=0,0,(T143+V143)*R143*VLOOKUP($W$2,'Kriter Ağırlık'!$A$1:$B$8,2,1)*E143)</f>
        <v>6.6666666666666661</v>
      </c>
      <c r="X143" s="120">
        <f>IFERROR(VLOOKUP(A143,Devamsızlıklar!A:M,13,0),1)</f>
        <v>0.7</v>
      </c>
      <c r="Y143" s="120">
        <f>(OEE!$K$6*VLOOKUP($Y$2,'Kriter Ağırlık'!$A$1:$B$8,2,1))*X143*E143</f>
        <v>16.333333333333332</v>
      </c>
      <c r="Z143" s="120">
        <f>(TELEF!$I$10*VLOOKUP($Z$2,'Kriter Ağırlık'!$A$1:$B$8,2,1))*X143*E143</f>
        <v>7</v>
      </c>
      <c r="AA143" s="120">
        <f t="shared" si="13"/>
        <v>38.733333333333334</v>
      </c>
      <c r="AB143" s="118">
        <v>5</v>
      </c>
      <c r="AC143" s="118">
        <f>VLOOKUP(AB143,'Kriter Ağırlık'!$A$12:$C$17,3,0)</f>
        <v>18.5</v>
      </c>
      <c r="AD143" s="118">
        <v>3</v>
      </c>
      <c r="AE143" s="118">
        <f>VLOOKUP(AD143,'Kriter Ağırlık'!$E$12:$G$24,3,0)</f>
        <v>1.1499999999999999</v>
      </c>
      <c r="AF143" s="121">
        <f t="shared" si="14"/>
        <v>824.05166666666662</v>
      </c>
      <c r="AG143" s="122" t="str">
        <f>VLOOKUP(A143,'Çalışan Listesi'!A:G,6,0)</f>
        <v>TAKIM LİDERİ</v>
      </c>
    </row>
    <row r="144" spans="1:33" x14ac:dyDescent="0.2">
      <c r="A144" s="2">
        <v>3807</v>
      </c>
      <c r="B144" s="3" t="s">
        <v>186</v>
      </c>
      <c r="C144" s="4">
        <v>42506</v>
      </c>
      <c r="D144" s="5">
        <f t="shared" ref="D144:D153" si="15">IF($AI$2-C144&gt;=90,90,$AI$2-C144)</f>
        <v>90</v>
      </c>
      <c r="E144" s="6">
        <f t="shared" si="12"/>
        <v>1</v>
      </c>
      <c r="F144" s="25" t="s">
        <v>425</v>
      </c>
      <c r="G144" s="3" t="s">
        <v>24</v>
      </c>
      <c r="H144" s="106" t="str">
        <f>VLOOKUP(A144,'Çalışan Listesi'!A:G,7,0)</f>
        <v>2.KADEME</v>
      </c>
      <c r="I144" s="65">
        <f>IFERROR(VLOOKUP(A144,'Kaizen Listesi'!A:H,8,0),0)</f>
        <v>0</v>
      </c>
      <c r="J144" s="65">
        <f>I144*VLOOKUP($I$2,'Kriter Ağırlık'!$A$1:$B$8,2,0)</f>
        <v>0</v>
      </c>
      <c r="K144" s="65">
        <f>IFERROR(VLOOKUP(A144,'Hata Kartı '!A:H,8,0),0)</f>
        <v>33.333333333333336</v>
      </c>
      <c r="L144" s="65">
        <f>K144*(VLOOKUP($K$2,'Kriter Ağırlık'!$A$1:$B$8,2,0))</f>
        <v>3.3333333333333339</v>
      </c>
      <c r="M144" s="65">
        <f>IFERROR(VLOOKUP(F144,'5S'!$B$8:$E$19,4,0),0)</f>
        <v>1</v>
      </c>
      <c r="N144" s="65">
        <f>VLOOKUP(M144,'5S'!$G$8:$I$14,3,1)*VLOOKUP($M$2,'Kriter Ağırlık'!$A$1:$B$8,2,0)*E144*X144</f>
        <v>7.5555555555555554</v>
      </c>
      <c r="O144" s="1">
        <f>IFERROR(VLOOKUP(A144,Devamsızlıklar!A:K,10,0),0)</f>
        <v>0</v>
      </c>
      <c r="P144" s="40">
        <f>VLOOKUP(O144,Aralıklar!$A$2:$C$5,3,1)*VLOOKUP($O$2,'Kriter Ağırlık'!$A$1:$B$8,2,0)*E144*X144</f>
        <v>9.4444444444444446</v>
      </c>
      <c r="Q144" s="1">
        <f>IFERROR(VLOOKUP(A144,Devamsızlıklar!A:K,8,0),0)</f>
        <v>0</v>
      </c>
      <c r="R144" s="33">
        <f>VLOOKUP(Q144,Aralıklar!$E$2:$G$5,3,1)</f>
        <v>1</v>
      </c>
      <c r="S144" s="33">
        <f>IFERROR(VLOOKUP(A144,Devamsızlıklar!A:K,9,0),0)</f>
        <v>5</v>
      </c>
      <c r="T144" s="33">
        <f>VLOOKUP(S144,Aralıklar!$I$2:$K$6,3,1)</f>
        <v>25</v>
      </c>
      <c r="U144" s="33">
        <f>IFERROR(VLOOKUP(A144,Devamsızlıklar!A:K,11,0),0)</f>
        <v>0</v>
      </c>
      <c r="V144" s="33">
        <f>VLOOKUP(U144,Aralıklar!$M$2:$O$6,3,1)</f>
        <v>50</v>
      </c>
      <c r="W144" s="40">
        <f>IF(X144=0,0,(T144+V144)*R144*VLOOKUP($W$2,'Kriter Ağırlık'!$A$1:$B$8,2,1)*E144)</f>
        <v>7.5</v>
      </c>
      <c r="X144" s="40">
        <f>IFERROR(VLOOKUP(A144,Devamsızlıklar!A:M,13,0),1)</f>
        <v>0.94444444444444442</v>
      </c>
      <c r="Y144" s="40">
        <f>(OEE!$K$6*VLOOKUP($Y$2,'Kriter Ağırlık'!$A$1:$B$8,2,1))*X144*E144</f>
        <v>33.055555555555557</v>
      </c>
      <c r="Z144" s="40">
        <f>(TELEF!$I$10*VLOOKUP($Z$2,'Kriter Ağırlık'!$A$1:$B$8,2,1))*X144*E144</f>
        <v>14.166666666666666</v>
      </c>
      <c r="AA144" s="40">
        <f t="shared" si="13"/>
        <v>75.055555555555557</v>
      </c>
      <c r="AB144" s="1">
        <v>5</v>
      </c>
      <c r="AC144" s="33">
        <f>VLOOKUP(AB144,'Kriter Ağırlık'!$A$12:$C$17,3,0)</f>
        <v>18.5</v>
      </c>
      <c r="AD144" s="1">
        <v>11</v>
      </c>
      <c r="AE144" s="33">
        <f>VLOOKUP(AD144,'Kriter Ağırlık'!$E$12:$G$24,3,0)</f>
        <v>1.157</v>
      </c>
      <c r="AF144" s="92">
        <f t="shared" si="14"/>
        <v>1606.526638888889</v>
      </c>
      <c r="AG144" t="str">
        <f>VLOOKUP(A144,'Çalışan Listesi'!A:G,6,0)</f>
        <v>TEKNİSYEN</v>
      </c>
    </row>
    <row r="145" spans="1:33" x14ac:dyDescent="0.2">
      <c r="A145" s="2">
        <v>3808</v>
      </c>
      <c r="B145" s="3" t="s">
        <v>187</v>
      </c>
      <c r="C145" s="4">
        <v>42506</v>
      </c>
      <c r="D145" s="5">
        <f t="shared" si="15"/>
        <v>90</v>
      </c>
      <c r="E145" s="6">
        <f t="shared" si="12"/>
        <v>1</v>
      </c>
      <c r="F145" s="25" t="s">
        <v>426</v>
      </c>
      <c r="G145" s="3" t="s">
        <v>549</v>
      </c>
      <c r="H145" s="106" t="str">
        <f>VLOOKUP(A145,'Çalışan Listesi'!A:G,7,0)</f>
        <v>3.KADEME</v>
      </c>
      <c r="I145" s="65">
        <f>IFERROR(VLOOKUP(A145,'Kaizen Listesi'!A:H,8,0),0)</f>
        <v>0</v>
      </c>
      <c r="J145" s="65">
        <f>I145*VLOOKUP($I$2,'Kriter Ağırlık'!$A$1:$B$8,2,0)</f>
        <v>0</v>
      </c>
      <c r="K145" s="65">
        <f>IFERROR(VLOOKUP(A145,'Hata Kartı '!A:H,8,0),0)</f>
        <v>0</v>
      </c>
      <c r="L145" s="65">
        <f>K145*(VLOOKUP($K$2,'Kriter Ağırlık'!$A$1:$B$8,2,0))</f>
        <v>0</v>
      </c>
      <c r="M145" s="65">
        <f>IFERROR(VLOOKUP(F145,'5S'!$B$8:$E$19,4,0),0)</f>
        <v>1</v>
      </c>
      <c r="N145" s="65">
        <f>VLOOKUP(M145,'5S'!$G$8:$I$14,3,1)*VLOOKUP($M$2,'Kriter Ağırlık'!$A$1:$B$8,2,0)*E145*X145</f>
        <v>8</v>
      </c>
      <c r="O145" s="1">
        <f>IFERROR(VLOOKUP(A145,Devamsızlıklar!A:K,10,0),0)</f>
        <v>0</v>
      </c>
      <c r="P145" s="40">
        <f>VLOOKUP(O145,Aralıklar!$A$2:$C$5,3,1)*VLOOKUP($O$2,'Kriter Ağırlık'!$A$1:$B$8,2,0)*E145*X145</f>
        <v>10</v>
      </c>
      <c r="Q145" s="1">
        <f>IFERROR(VLOOKUP(A145,Devamsızlıklar!A:K,8,0),0)</f>
        <v>0</v>
      </c>
      <c r="R145" s="33">
        <f>VLOOKUP(Q145,Aralıklar!$E$2:$G$5,3,1)</f>
        <v>1</v>
      </c>
      <c r="S145" s="33">
        <f>IFERROR(VLOOKUP(A145,Devamsızlıklar!A:K,9,0),0)</f>
        <v>0</v>
      </c>
      <c r="T145" s="33">
        <f>VLOOKUP(S145,Aralıklar!$I$2:$K$6,3,1)</f>
        <v>50</v>
      </c>
      <c r="U145" s="33">
        <f>IFERROR(VLOOKUP(A145,Devamsızlıklar!A:K,11,0),0)</f>
        <v>0</v>
      </c>
      <c r="V145" s="33">
        <f>VLOOKUP(U145,Aralıklar!$M$2:$O$6,3,1)</f>
        <v>50</v>
      </c>
      <c r="W145" s="40">
        <f>IF(X145=0,0,(T145+V145)*R145*VLOOKUP($W$2,'Kriter Ağırlık'!$A$1:$B$8,2,1)*E145)</f>
        <v>10</v>
      </c>
      <c r="X145" s="40">
        <f>IFERROR(VLOOKUP(A145,Devamsızlıklar!A:M,13,0),1)</f>
        <v>1</v>
      </c>
      <c r="Y145" s="40">
        <f>(OEE!$K$6*VLOOKUP($Y$2,'Kriter Ağırlık'!$A$1:$B$8,2,1))*X145*E145</f>
        <v>35</v>
      </c>
      <c r="Z145" s="40">
        <f>(TELEF!$I$10*VLOOKUP($Z$2,'Kriter Ağırlık'!$A$1:$B$8,2,1))*X145*E145</f>
        <v>15</v>
      </c>
      <c r="AA145" s="40">
        <f t="shared" si="13"/>
        <v>78</v>
      </c>
      <c r="AB145" s="1">
        <v>5</v>
      </c>
      <c r="AC145" s="33">
        <f>VLOOKUP(AB145,'Kriter Ağırlık'!$A$12:$C$17,3,0)</f>
        <v>18.5</v>
      </c>
      <c r="AD145" s="106">
        <v>3</v>
      </c>
      <c r="AE145" s="33">
        <f>VLOOKUP(AD145,'Kriter Ağırlık'!$E$12:$G$24,3,0)</f>
        <v>1.1499999999999999</v>
      </c>
      <c r="AF145" s="92">
        <f t="shared" si="14"/>
        <v>1659.4499999999998</v>
      </c>
      <c r="AG145" t="str">
        <f>VLOOKUP(A145,'Çalışan Listesi'!A:G,6,0)</f>
        <v>OPERATÖR</v>
      </c>
    </row>
    <row r="146" spans="1:33" x14ac:dyDescent="0.2">
      <c r="A146" s="2">
        <v>3825</v>
      </c>
      <c r="B146" s="3" t="s">
        <v>188</v>
      </c>
      <c r="C146" s="4">
        <v>42541</v>
      </c>
      <c r="D146" s="5">
        <f t="shared" si="15"/>
        <v>90</v>
      </c>
      <c r="E146" s="6">
        <f t="shared" si="12"/>
        <v>1</v>
      </c>
      <c r="F146" s="25" t="s">
        <v>421</v>
      </c>
      <c r="G146" s="3" t="s">
        <v>61</v>
      </c>
      <c r="H146" s="106" t="str">
        <f>VLOOKUP(A146,'Çalışan Listesi'!A:G,7,0)</f>
        <v>2.KADEME</v>
      </c>
      <c r="I146" s="65">
        <f>IFERROR(VLOOKUP(A146,'Kaizen Listesi'!A:H,8,0),0)</f>
        <v>0</v>
      </c>
      <c r="J146" s="65">
        <f>I146*VLOOKUP($I$2,'Kriter Ağırlık'!$A$1:$B$8,2,0)</f>
        <v>0</v>
      </c>
      <c r="K146" s="65">
        <f>IFERROR(VLOOKUP(A146,'Hata Kartı '!A:H,8,0),0)</f>
        <v>16.666666666666668</v>
      </c>
      <c r="L146" s="65">
        <f>K146*(VLOOKUP($K$2,'Kriter Ağırlık'!$A$1:$B$8,2,0))</f>
        <v>1.666666666666667</v>
      </c>
      <c r="M146" s="65">
        <f>IFERROR(VLOOKUP(F146,'5S'!$B$8:$E$19,4,0),0)</f>
        <v>1</v>
      </c>
      <c r="N146" s="65">
        <f>VLOOKUP(M146,'5S'!$G$8:$I$14,3,1)*VLOOKUP($M$2,'Kriter Ağırlık'!$A$1:$B$8,2,0)*E146*X146</f>
        <v>7.9111111111111114</v>
      </c>
      <c r="O146" s="1">
        <f>IFERROR(VLOOKUP(A146,Devamsızlıklar!A:K,10,0),0)</f>
        <v>0</v>
      </c>
      <c r="P146" s="40">
        <f>VLOOKUP(O146,Aralıklar!$A$2:$C$5,3,1)*VLOOKUP($O$2,'Kriter Ağırlık'!$A$1:$B$8,2,0)*E146*X146</f>
        <v>9.8888888888888893</v>
      </c>
      <c r="Q146" s="1">
        <f>IFERROR(VLOOKUP(A146,Devamsızlıklar!A:K,8,0),0)</f>
        <v>0</v>
      </c>
      <c r="R146" s="33">
        <f>VLOOKUP(Q146,Aralıklar!$E$2:$G$5,3,1)</f>
        <v>1</v>
      </c>
      <c r="S146" s="33">
        <f>IFERROR(VLOOKUP(A146,Devamsızlıklar!A:K,9,0),0)</f>
        <v>1</v>
      </c>
      <c r="T146" s="33">
        <f>VLOOKUP(S146,Aralıklar!$I$2:$K$6,3,1)</f>
        <v>50</v>
      </c>
      <c r="U146" s="33">
        <f>IFERROR(VLOOKUP(A146,Devamsızlıklar!A:K,11,0),0)</f>
        <v>0</v>
      </c>
      <c r="V146" s="33">
        <f>VLOOKUP(U146,Aralıklar!$M$2:$O$6,3,1)</f>
        <v>50</v>
      </c>
      <c r="W146" s="40">
        <f>IF(X146=0,0,(T146+V146)*R146*VLOOKUP($W$2,'Kriter Ağırlık'!$A$1:$B$8,2,1)*E146)</f>
        <v>10</v>
      </c>
      <c r="X146" s="40">
        <f>IFERROR(VLOOKUP(A146,Devamsızlıklar!A:M,13,0),1)</f>
        <v>0.98888888888888893</v>
      </c>
      <c r="Y146" s="40">
        <f>(OEE!$K$6*VLOOKUP($Y$2,'Kriter Ağırlık'!$A$1:$B$8,2,1))*X146*E146</f>
        <v>34.611111111111114</v>
      </c>
      <c r="Z146" s="40">
        <f>(TELEF!$I$10*VLOOKUP($Z$2,'Kriter Ağırlık'!$A$1:$B$8,2,1))*X146*E146</f>
        <v>14.833333333333334</v>
      </c>
      <c r="AA146" s="40">
        <f t="shared" si="13"/>
        <v>78.911111111111111</v>
      </c>
      <c r="AB146" s="1">
        <v>5</v>
      </c>
      <c r="AC146" s="33">
        <f>VLOOKUP(AB146,'Kriter Ağırlık'!$A$12:$C$17,3,0)</f>
        <v>18.5</v>
      </c>
      <c r="AD146" s="106">
        <v>4</v>
      </c>
      <c r="AE146" s="33">
        <f>VLOOKUP(AD146,'Kriter Ağırlık'!$E$12:$G$24,3,0)</f>
        <v>1.077</v>
      </c>
      <c r="AF146" s="92">
        <f t="shared" si="14"/>
        <v>1572.2644333333333</v>
      </c>
      <c r="AG146" t="str">
        <f>VLOOKUP(A146,'Çalışan Listesi'!A:G,6,0)</f>
        <v>OPERATÖR</v>
      </c>
    </row>
    <row r="147" spans="1:33" x14ac:dyDescent="0.2">
      <c r="A147" s="2">
        <v>3826</v>
      </c>
      <c r="B147" s="3" t="s">
        <v>189</v>
      </c>
      <c r="C147" s="4">
        <v>42548</v>
      </c>
      <c r="D147" s="5">
        <f t="shared" si="15"/>
        <v>90</v>
      </c>
      <c r="E147" s="6">
        <f t="shared" si="12"/>
        <v>1</v>
      </c>
      <c r="F147" s="25" t="s">
        <v>428</v>
      </c>
      <c r="G147" s="3" t="s">
        <v>190</v>
      </c>
      <c r="H147" s="106" t="str">
        <f>VLOOKUP(A147,'Çalışan Listesi'!A:G,7,0)</f>
        <v>1.KADEME</v>
      </c>
      <c r="I147" s="65">
        <f>IFERROR(VLOOKUP(A147,'Kaizen Listesi'!A:H,8,0),0)</f>
        <v>0</v>
      </c>
      <c r="J147" s="65">
        <f>I147*VLOOKUP($I$2,'Kriter Ağırlık'!$A$1:$B$8,2,0)</f>
        <v>0</v>
      </c>
      <c r="K147" s="65">
        <f>IFERROR(VLOOKUP(A147,'Hata Kartı '!A:H,8,0),0)</f>
        <v>0</v>
      </c>
      <c r="L147" s="65">
        <f>K147*(VLOOKUP($K$2,'Kriter Ağırlık'!$A$1:$B$8,2,0))</f>
        <v>0</v>
      </c>
      <c r="M147" s="65">
        <f>IFERROR(VLOOKUP(F147,'5S'!$B$8:$E$19,4,0),0)</f>
        <v>1</v>
      </c>
      <c r="N147" s="65">
        <f>VLOOKUP(M147,'5S'!$G$8:$I$14,3,1)*VLOOKUP($M$2,'Kriter Ağırlık'!$A$1:$B$8,2,0)*E147*X147</f>
        <v>7.7333333333333334</v>
      </c>
      <c r="O147" s="1">
        <f>IFERROR(VLOOKUP(A147,Devamsızlıklar!A:K,10,0),0)</f>
        <v>0</v>
      </c>
      <c r="P147" s="40">
        <f>VLOOKUP(O147,Aralıklar!$A$2:$C$5,3,1)*VLOOKUP($O$2,'Kriter Ağırlık'!$A$1:$B$8,2,0)*E147*X147</f>
        <v>9.6666666666666661</v>
      </c>
      <c r="Q147" s="1">
        <f>IFERROR(VLOOKUP(A147,Devamsızlıklar!A:K,8,0),0)</f>
        <v>0</v>
      </c>
      <c r="R147" s="33">
        <f>VLOOKUP(Q147,Aralıklar!$E$2:$G$5,3,1)</f>
        <v>1</v>
      </c>
      <c r="S147" s="33">
        <f>IFERROR(VLOOKUP(A147,Devamsızlıklar!A:K,9,0),0)</f>
        <v>3</v>
      </c>
      <c r="T147" s="33">
        <f>VLOOKUP(S147,Aralıklar!$I$2:$K$6,3,1)</f>
        <v>50</v>
      </c>
      <c r="U147" s="33">
        <f>IFERROR(VLOOKUP(A147,Devamsızlıklar!A:K,11,0),0)</f>
        <v>0</v>
      </c>
      <c r="V147" s="33">
        <f>VLOOKUP(U147,Aralıklar!$M$2:$O$6,3,1)</f>
        <v>50</v>
      </c>
      <c r="W147" s="40">
        <f>IF(X147=0,0,(T147+V147)*R147*VLOOKUP($W$2,'Kriter Ağırlık'!$A$1:$B$8,2,1)*E147)</f>
        <v>10</v>
      </c>
      <c r="X147" s="40">
        <f>IFERROR(VLOOKUP(A147,Devamsızlıklar!A:M,13,0),1)</f>
        <v>0.96666666666666667</v>
      </c>
      <c r="Y147" s="40">
        <f>(OEE!$K$6*VLOOKUP($Y$2,'Kriter Ağırlık'!$A$1:$B$8,2,1))*X147*E147</f>
        <v>33.833333333333336</v>
      </c>
      <c r="Z147" s="40">
        <f>(TELEF!$I$10*VLOOKUP($Z$2,'Kriter Ağırlık'!$A$1:$B$8,2,1))*X147*E147</f>
        <v>14.5</v>
      </c>
      <c r="AA147" s="40">
        <f t="shared" si="13"/>
        <v>75.733333333333334</v>
      </c>
      <c r="AB147" s="1">
        <v>5</v>
      </c>
      <c r="AC147" s="33">
        <f>VLOOKUP(AB147,'Kriter Ağırlık'!$A$12:$C$17,3,0)</f>
        <v>18.5</v>
      </c>
      <c r="AD147" s="1">
        <v>5</v>
      </c>
      <c r="AE147" s="134">
        <v>1.0549999999999999</v>
      </c>
      <c r="AF147" s="92">
        <f t="shared" si="14"/>
        <v>1478.1253333333332</v>
      </c>
      <c r="AG147" t="str">
        <f>VLOOKUP(A147,'Çalışan Listesi'!A:G,6,0)</f>
        <v>OPERATÖR</v>
      </c>
    </row>
    <row r="148" spans="1:33" x14ac:dyDescent="0.2">
      <c r="A148" s="2">
        <v>3830</v>
      </c>
      <c r="B148" s="3" t="s">
        <v>191</v>
      </c>
      <c r="C148" s="4">
        <v>42562</v>
      </c>
      <c r="D148" s="5">
        <f t="shared" si="15"/>
        <v>90</v>
      </c>
      <c r="E148" s="6">
        <f t="shared" si="12"/>
        <v>1</v>
      </c>
      <c r="F148" s="25" t="s">
        <v>421</v>
      </c>
      <c r="G148" s="3" t="s">
        <v>61</v>
      </c>
      <c r="H148" s="106" t="str">
        <f>VLOOKUP(A148,'Çalışan Listesi'!A:G,7,0)</f>
        <v>2.KADEME</v>
      </c>
      <c r="I148" s="65">
        <f>IFERROR(VLOOKUP(A148,'Kaizen Listesi'!A:H,8,0),0)</f>
        <v>0</v>
      </c>
      <c r="J148" s="65">
        <f>I148*VLOOKUP($I$2,'Kriter Ağırlık'!$A$1:$B$8,2,0)</f>
        <v>0</v>
      </c>
      <c r="K148" s="65">
        <f>IFERROR(VLOOKUP(A148,'Hata Kartı '!A:H,8,0),0)</f>
        <v>66.666666666666671</v>
      </c>
      <c r="L148" s="65">
        <f>K148*(VLOOKUP($K$2,'Kriter Ağırlık'!$A$1:$B$8,2,0))</f>
        <v>6.6666666666666679</v>
      </c>
      <c r="M148" s="65">
        <f>IFERROR(VLOOKUP(F148,'5S'!$B$8:$E$19,4,0),0)</f>
        <v>1</v>
      </c>
      <c r="N148" s="65">
        <f>VLOOKUP(M148,'5S'!$G$8:$I$14,3,1)*VLOOKUP($M$2,'Kriter Ağırlık'!$A$1:$B$8,2,0)*E148*X148</f>
        <v>7.7333333333333334</v>
      </c>
      <c r="O148" s="1">
        <f>IFERROR(VLOOKUP(A148,Devamsızlıklar!A:K,10,0),0)</f>
        <v>0</v>
      </c>
      <c r="P148" s="40">
        <f>VLOOKUP(O148,Aralıklar!$A$2:$C$5,3,1)*VLOOKUP($O$2,'Kriter Ağırlık'!$A$1:$B$8,2,0)*E148*X148</f>
        <v>9.6666666666666661</v>
      </c>
      <c r="Q148" s="1">
        <f>IFERROR(VLOOKUP(A148,Devamsızlıklar!A:K,8,0),0)</f>
        <v>0</v>
      </c>
      <c r="R148" s="33">
        <f>VLOOKUP(Q148,Aralıklar!$E$2:$G$5,3,1)</f>
        <v>1</v>
      </c>
      <c r="S148" s="33">
        <f>IFERROR(VLOOKUP(A148,Devamsızlıklar!A:K,9,0),0)</f>
        <v>3</v>
      </c>
      <c r="T148" s="33">
        <f>VLOOKUP(S148,Aralıklar!$I$2:$K$6,3,1)</f>
        <v>50</v>
      </c>
      <c r="U148" s="33">
        <f>IFERROR(VLOOKUP(A148,Devamsızlıklar!A:K,11,0),0)</f>
        <v>0</v>
      </c>
      <c r="V148" s="33">
        <f>VLOOKUP(U148,Aralıklar!$M$2:$O$6,3,1)</f>
        <v>50</v>
      </c>
      <c r="W148" s="40">
        <f>IF(X148=0,0,(T148+V148)*R148*VLOOKUP($W$2,'Kriter Ağırlık'!$A$1:$B$8,2,1)*E148)</f>
        <v>10</v>
      </c>
      <c r="X148" s="40">
        <f>IFERROR(VLOOKUP(A148,Devamsızlıklar!A:M,13,0),1)</f>
        <v>0.96666666666666667</v>
      </c>
      <c r="Y148" s="40">
        <f>(OEE!$K$6*VLOOKUP($Y$2,'Kriter Ağırlık'!$A$1:$B$8,2,1))*X148*E148</f>
        <v>33.833333333333336</v>
      </c>
      <c r="Z148" s="40">
        <f>(TELEF!$I$10*VLOOKUP($Z$2,'Kriter Ağırlık'!$A$1:$B$8,2,1))*X148*E148</f>
        <v>14.5</v>
      </c>
      <c r="AA148" s="40">
        <f t="shared" si="13"/>
        <v>82.4</v>
      </c>
      <c r="AB148" s="1">
        <v>5</v>
      </c>
      <c r="AC148" s="33">
        <f>VLOOKUP(AB148,'Kriter Ağırlık'!$A$12:$C$17,3,0)</f>
        <v>18.5</v>
      </c>
      <c r="AD148" s="106">
        <v>4</v>
      </c>
      <c r="AE148" s="33">
        <f>VLOOKUP(AD148,'Kriter Ağırlık'!$E$12:$G$24,3,0)</f>
        <v>1.077</v>
      </c>
      <c r="AF148" s="92">
        <f t="shared" si="14"/>
        <v>1641.7788</v>
      </c>
      <c r="AG148" t="str">
        <f>VLOOKUP(A148,'Çalışan Listesi'!A:G,6,0)</f>
        <v>OPERATÖR</v>
      </c>
    </row>
    <row r="149" spans="1:33" x14ac:dyDescent="0.2">
      <c r="A149" s="2">
        <v>3844</v>
      </c>
      <c r="B149" s="3" t="s">
        <v>192</v>
      </c>
      <c r="C149" s="4">
        <v>42585</v>
      </c>
      <c r="D149" s="5">
        <f t="shared" si="15"/>
        <v>90</v>
      </c>
      <c r="E149" s="6">
        <f t="shared" si="12"/>
        <v>1</v>
      </c>
      <c r="F149" s="25" t="s">
        <v>425</v>
      </c>
      <c r="G149" s="3" t="s">
        <v>24</v>
      </c>
      <c r="H149" s="106" t="str">
        <f>VLOOKUP(A149,'Çalışan Listesi'!A:G,7,0)</f>
        <v>2.KADEME</v>
      </c>
      <c r="I149" s="65">
        <f>IFERROR(VLOOKUP(A149,'Kaizen Listesi'!A:H,8,0),0)</f>
        <v>0</v>
      </c>
      <c r="J149" s="65">
        <f>I149*VLOOKUP($I$2,'Kriter Ağırlık'!$A$1:$B$8,2,0)</f>
        <v>0</v>
      </c>
      <c r="K149" s="65">
        <f>IFERROR(VLOOKUP(A149,'Hata Kartı '!A:H,8,0),0)</f>
        <v>16.666666666666668</v>
      </c>
      <c r="L149" s="65">
        <f>K149*(VLOOKUP($K$2,'Kriter Ağırlık'!$A$1:$B$8,2,0))</f>
        <v>1.666666666666667</v>
      </c>
      <c r="M149" s="65">
        <f>IFERROR(VLOOKUP(F149,'5S'!$B$8:$E$19,4,0),0)</f>
        <v>1</v>
      </c>
      <c r="N149" s="65">
        <f>VLOOKUP(M149,'5S'!$G$8:$I$14,3,1)*VLOOKUP($M$2,'Kriter Ağırlık'!$A$1:$B$8,2,0)*E149*X149</f>
        <v>6.7555555555555555</v>
      </c>
      <c r="O149" s="1">
        <f>IFERROR(VLOOKUP(A149,Devamsızlıklar!A:K,10,0),0)</f>
        <v>0</v>
      </c>
      <c r="P149" s="40">
        <f>VLOOKUP(O149,Aralıklar!$A$2:$C$5,3,1)*VLOOKUP($O$2,'Kriter Ağırlık'!$A$1:$B$8,2,0)*E149*X149</f>
        <v>8.4444444444444446</v>
      </c>
      <c r="Q149" s="1">
        <f>IFERROR(VLOOKUP(A149,Devamsızlıklar!A:K,8,0),0)</f>
        <v>0</v>
      </c>
      <c r="R149" s="33">
        <f>VLOOKUP(Q149,Aralıklar!$E$2:$G$5,3,1)</f>
        <v>1</v>
      </c>
      <c r="S149" s="33">
        <f>IFERROR(VLOOKUP(A149,Devamsızlıklar!A:K,9,0),0)</f>
        <v>1</v>
      </c>
      <c r="T149" s="33">
        <f>VLOOKUP(S149,Aralıklar!$I$2:$K$6,3,1)</f>
        <v>50</v>
      </c>
      <c r="U149" s="33">
        <f>IFERROR(VLOOKUP(A149,Devamsızlıklar!A:K,11,0),0)</f>
        <v>0</v>
      </c>
      <c r="V149" s="33">
        <f>VLOOKUP(U149,Aralıklar!$M$2:$O$6,3,1)</f>
        <v>50</v>
      </c>
      <c r="W149" s="40">
        <f>IF(X149=0,0,(T149+V149)*R149*VLOOKUP($W$2,'Kriter Ağırlık'!$A$1:$B$8,2,1)*E149)</f>
        <v>10</v>
      </c>
      <c r="X149" s="40">
        <f>IFERROR(VLOOKUP(A149,Devamsızlıklar!A:M,13,0),1)</f>
        <v>0.84444444444444444</v>
      </c>
      <c r="Y149" s="40">
        <f>(OEE!$K$6*VLOOKUP($Y$2,'Kriter Ağırlık'!$A$1:$B$8,2,1))*X149*E149</f>
        <v>29.555555555555557</v>
      </c>
      <c r="Z149" s="40">
        <f>(TELEF!$I$10*VLOOKUP($Z$2,'Kriter Ağırlık'!$A$1:$B$8,2,1))*X149*E149</f>
        <v>12.666666666666666</v>
      </c>
      <c r="AA149" s="40">
        <f t="shared" si="13"/>
        <v>69.088888888888889</v>
      </c>
      <c r="AB149" s="1">
        <v>5</v>
      </c>
      <c r="AC149" s="33">
        <f>VLOOKUP(AB149,'Kriter Ağırlık'!$A$12:$C$17,3,0)</f>
        <v>18.5</v>
      </c>
      <c r="AD149" s="1">
        <v>11</v>
      </c>
      <c r="AE149" s="33">
        <f>VLOOKUP(AD149,'Kriter Ağırlık'!$E$12:$G$24,3,0)</f>
        <v>1.157</v>
      </c>
      <c r="AF149" s="92">
        <f t="shared" si="14"/>
        <v>1478.8131222222221</v>
      </c>
      <c r="AG149" t="str">
        <f>VLOOKUP(A149,'Çalışan Listesi'!A:G,6,0)</f>
        <v>TEKNİSYEN</v>
      </c>
    </row>
    <row r="150" spans="1:33" x14ac:dyDescent="0.2">
      <c r="A150" s="2">
        <v>3847</v>
      </c>
      <c r="B150" s="3" t="s">
        <v>193</v>
      </c>
      <c r="C150" s="4">
        <v>42597</v>
      </c>
      <c r="D150" s="5">
        <f t="shared" si="15"/>
        <v>90</v>
      </c>
      <c r="E150" s="6">
        <f t="shared" si="12"/>
        <v>1</v>
      </c>
      <c r="F150" s="25" t="s">
        <v>429</v>
      </c>
      <c r="G150" s="3" t="s">
        <v>46</v>
      </c>
      <c r="H150" s="106" t="str">
        <f>VLOOKUP(A150,'Çalışan Listesi'!A:G,7,0)</f>
        <v>2.KADEME</v>
      </c>
      <c r="I150" s="65">
        <f>IFERROR(VLOOKUP(A150,'Kaizen Listesi'!A:H,8,0),0)</f>
        <v>0</v>
      </c>
      <c r="J150" s="65">
        <f>I150*VLOOKUP($I$2,'Kriter Ağırlık'!$A$1:$B$8,2,0)</f>
        <v>0</v>
      </c>
      <c r="K150" s="65">
        <f>IFERROR(VLOOKUP(A150,'Hata Kartı '!A:H,8,0),0)</f>
        <v>0</v>
      </c>
      <c r="L150" s="65">
        <f>K150*(VLOOKUP($K$2,'Kriter Ağırlık'!$A$1:$B$8,2,0))</f>
        <v>0</v>
      </c>
      <c r="M150" s="65">
        <f>IFERROR(VLOOKUP(F150,'5S'!$B$8:$E$19,4,0),0)</f>
        <v>1</v>
      </c>
      <c r="N150" s="65">
        <f>VLOOKUP(M150,'5S'!$G$8:$I$14,3,1)*VLOOKUP($M$2,'Kriter Ağırlık'!$A$1:$B$8,2,0)*E150*X150</f>
        <v>8</v>
      </c>
      <c r="O150" s="1">
        <f>IFERROR(VLOOKUP(A150,Devamsızlıklar!A:K,10,0),0)</f>
        <v>0</v>
      </c>
      <c r="P150" s="40">
        <f>VLOOKUP(O150,Aralıklar!$A$2:$C$5,3,1)*VLOOKUP($O$2,'Kriter Ağırlık'!$A$1:$B$8,2,0)*E150*X150</f>
        <v>10</v>
      </c>
      <c r="Q150" s="1">
        <f>IFERROR(VLOOKUP(A150,Devamsızlıklar!A:K,8,0),0)</f>
        <v>0</v>
      </c>
      <c r="R150" s="33">
        <f>VLOOKUP(Q150,Aralıklar!$E$2:$G$5,3,1)</f>
        <v>1</v>
      </c>
      <c r="S150" s="33">
        <f>IFERROR(VLOOKUP(A150,Devamsızlıklar!A:K,9,0),0)</f>
        <v>0</v>
      </c>
      <c r="T150" s="33">
        <f>VLOOKUP(S150,Aralıklar!$I$2:$K$6,3,1)</f>
        <v>50</v>
      </c>
      <c r="U150" s="33">
        <f>IFERROR(VLOOKUP(A150,Devamsızlıklar!A:K,11,0),0)</f>
        <v>0</v>
      </c>
      <c r="V150" s="33">
        <f>VLOOKUP(U150,Aralıklar!$M$2:$O$6,3,1)</f>
        <v>50</v>
      </c>
      <c r="W150" s="40">
        <f>IF(X150=0,0,(T150+V150)*R150*VLOOKUP($W$2,'Kriter Ağırlık'!$A$1:$B$8,2,1)*E150)</f>
        <v>10</v>
      </c>
      <c r="X150" s="40">
        <f>IFERROR(VLOOKUP(A150,Devamsızlıklar!A:M,13,0),1)</f>
        <v>1</v>
      </c>
      <c r="Y150" s="40">
        <f>(OEE!$K$6*VLOOKUP($Y$2,'Kriter Ağırlık'!$A$1:$B$8,2,1))*X150*E150</f>
        <v>35</v>
      </c>
      <c r="Z150" s="40">
        <f>(TELEF!$I$10*VLOOKUP($Z$2,'Kriter Ağırlık'!$A$1:$B$8,2,1))*X150*E150</f>
        <v>15</v>
      </c>
      <c r="AA150" s="40">
        <f t="shared" si="13"/>
        <v>78</v>
      </c>
      <c r="AB150" s="1">
        <v>5</v>
      </c>
      <c r="AC150" s="33">
        <f>VLOOKUP(AB150,'Kriter Ağırlık'!$A$12:$C$17,3,0)</f>
        <v>18.5</v>
      </c>
      <c r="AD150" s="106">
        <v>4</v>
      </c>
      <c r="AE150" s="33">
        <f>VLOOKUP(AD150,'Kriter Ağırlık'!$E$12:$G$24,3,0)</f>
        <v>1.077</v>
      </c>
      <c r="AF150" s="92">
        <f t="shared" si="14"/>
        <v>1554.1109999999999</v>
      </c>
      <c r="AG150" t="str">
        <f>VLOOKUP(A150,'Çalışan Listesi'!A:G,6,0)</f>
        <v>OPERATÖR</v>
      </c>
    </row>
    <row r="151" spans="1:33" x14ac:dyDescent="0.2">
      <c r="A151" s="2">
        <v>3848</v>
      </c>
      <c r="B151" s="3" t="s">
        <v>194</v>
      </c>
      <c r="C151" s="4">
        <v>42604</v>
      </c>
      <c r="D151" s="5">
        <f t="shared" si="15"/>
        <v>90</v>
      </c>
      <c r="E151" s="6">
        <f t="shared" si="12"/>
        <v>1</v>
      </c>
      <c r="F151" s="25" t="s">
        <v>431</v>
      </c>
      <c r="G151" s="3" t="s">
        <v>125</v>
      </c>
      <c r="H151" s="106" t="str">
        <f>VLOOKUP(A151,'Çalışan Listesi'!A:G,7,0)</f>
        <v>3.KADEME</v>
      </c>
      <c r="I151" s="65">
        <f>IFERROR(VLOOKUP(A151,'Kaizen Listesi'!A:H,8,0),0)</f>
        <v>0</v>
      </c>
      <c r="J151" s="65">
        <f>I151*VLOOKUP($I$2,'Kriter Ağırlık'!$A$1:$B$8,2,0)</f>
        <v>0</v>
      </c>
      <c r="K151" s="65">
        <f>IFERROR(VLOOKUP(A151,'Hata Kartı '!A:H,8,0),0)</f>
        <v>66.666666666666671</v>
      </c>
      <c r="L151" s="65">
        <f>K151*(VLOOKUP($K$2,'Kriter Ağırlık'!$A$1:$B$8,2,0))</f>
        <v>6.6666666666666679</v>
      </c>
      <c r="M151" s="65">
        <f>IFERROR(VLOOKUP(F151,'5S'!$B$8:$E$19,4,0),0)</f>
        <v>1</v>
      </c>
      <c r="N151" s="65">
        <f>VLOOKUP(M151,'5S'!$G$8:$I$14,3,1)*VLOOKUP($M$2,'Kriter Ağırlık'!$A$1:$B$8,2,0)*E151*X151</f>
        <v>8</v>
      </c>
      <c r="O151" s="1">
        <f>IFERROR(VLOOKUP(A151,Devamsızlıklar!A:K,10,0),0)</f>
        <v>0</v>
      </c>
      <c r="P151" s="40">
        <f>VLOOKUP(O151,Aralıklar!$A$2:$C$5,3,1)*VLOOKUP($O$2,'Kriter Ağırlık'!$A$1:$B$8,2,0)*E151*X151</f>
        <v>10</v>
      </c>
      <c r="Q151" s="1">
        <f>IFERROR(VLOOKUP(A151,Devamsızlıklar!A:K,8,0),0)</f>
        <v>0</v>
      </c>
      <c r="R151" s="33">
        <f>VLOOKUP(Q151,Aralıklar!$E$2:$G$5,3,1)</f>
        <v>1</v>
      </c>
      <c r="S151" s="33">
        <f>IFERROR(VLOOKUP(A151,Devamsızlıklar!A:K,9,0),0)</f>
        <v>0</v>
      </c>
      <c r="T151" s="33">
        <f>VLOOKUP(S151,Aralıklar!$I$2:$K$6,3,1)</f>
        <v>50</v>
      </c>
      <c r="U151" s="33">
        <f>IFERROR(VLOOKUP(A151,Devamsızlıklar!A:K,11,0),0)</f>
        <v>0</v>
      </c>
      <c r="V151" s="33">
        <f>VLOOKUP(U151,Aralıklar!$M$2:$O$6,3,1)</f>
        <v>50</v>
      </c>
      <c r="W151" s="40">
        <f>IF(X151=0,0,(T151+V151)*R151*VLOOKUP($W$2,'Kriter Ağırlık'!$A$1:$B$8,2,1)*E151)</f>
        <v>10</v>
      </c>
      <c r="X151" s="40">
        <f>IFERROR(VLOOKUP(A151,Devamsızlıklar!A:M,13,0),1)</f>
        <v>1</v>
      </c>
      <c r="Y151" s="40">
        <f>(OEE!$K$6*VLOOKUP($Y$2,'Kriter Ağırlık'!$A$1:$B$8,2,1))*X151*E151</f>
        <v>35</v>
      </c>
      <c r="Z151" s="40">
        <f>(TELEF!$I$10*VLOOKUP($Z$2,'Kriter Ağırlık'!$A$1:$B$8,2,1))*X151*E151</f>
        <v>15</v>
      </c>
      <c r="AA151" s="40">
        <f t="shared" si="13"/>
        <v>84.666666666666671</v>
      </c>
      <c r="AB151" s="1">
        <v>5</v>
      </c>
      <c r="AC151" s="33">
        <f>VLOOKUP(AB151,'Kriter Ağırlık'!$A$12:$C$17,3,0)</f>
        <v>18.5</v>
      </c>
      <c r="AD151" s="1">
        <v>3</v>
      </c>
      <c r="AE151" s="33">
        <f>VLOOKUP(AD151,'Kriter Ağırlık'!$E$12:$G$24,3,0)</f>
        <v>1.1499999999999999</v>
      </c>
      <c r="AF151" s="92">
        <f t="shared" si="14"/>
        <v>1801.2833333333333</v>
      </c>
      <c r="AG151" t="str">
        <f>VLOOKUP(A151,'Çalışan Listesi'!A:G,6,0)</f>
        <v>OPERATÖR</v>
      </c>
    </row>
    <row r="152" spans="1:33" x14ac:dyDescent="0.2">
      <c r="A152" s="2">
        <v>3850</v>
      </c>
      <c r="B152" s="3" t="s">
        <v>195</v>
      </c>
      <c r="C152" s="4">
        <v>42611</v>
      </c>
      <c r="D152" s="5">
        <f t="shared" si="15"/>
        <v>90</v>
      </c>
      <c r="E152" s="6">
        <f t="shared" si="12"/>
        <v>1</v>
      </c>
      <c r="F152" s="25" t="s">
        <v>431</v>
      </c>
      <c r="G152" s="3" t="s">
        <v>125</v>
      </c>
      <c r="H152" s="106" t="str">
        <f>VLOOKUP(A152,'Çalışan Listesi'!A:G,7,0)</f>
        <v>3.KADEME</v>
      </c>
      <c r="I152" s="65">
        <f>IFERROR(VLOOKUP(A152,'Kaizen Listesi'!A:H,8,0),0)</f>
        <v>0</v>
      </c>
      <c r="J152" s="65">
        <f>I152*VLOOKUP($I$2,'Kriter Ağırlık'!$A$1:$B$8,2,0)</f>
        <v>0</v>
      </c>
      <c r="K152" s="65">
        <f>IFERROR(VLOOKUP(A152,'Hata Kartı '!A:H,8,0),0)</f>
        <v>0</v>
      </c>
      <c r="L152" s="65">
        <f>K152*(VLOOKUP($K$2,'Kriter Ağırlık'!$A$1:$B$8,2,0))</f>
        <v>0</v>
      </c>
      <c r="M152" s="65">
        <f>IFERROR(VLOOKUP(F152,'5S'!$B$8:$E$19,4,0),0)</f>
        <v>1</v>
      </c>
      <c r="N152" s="65">
        <f>VLOOKUP(M152,'5S'!$G$8:$I$14,3,1)*VLOOKUP($M$2,'Kriter Ağırlık'!$A$1:$B$8,2,0)*E152*X152</f>
        <v>8</v>
      </c>
      <c r="O152" s="1">
        <f>IFERROR(VLOOKUP(A152,Devamsızlıklar!A:K,10,0),0)</f>
        <v>0</v>
      </c>
      <c r="P152" s="40">
        <f>VLOOKUP(O152,Aralıklar!$A$2:$C$5,3,1)*VLOOKUP($O$2,'Kriter Ağırlık'!$A$1:$B$8,2,0)*E152*X152</f>
        <v>10</v>
      </c>
      <c r="Q152" s="1">
        <f>IFERROR(VLOOKUP(A152,Devamsızlıklar!A:K,8,0),0)</f>
        <v>0</v>
      </c>
      <c r="R152" s="33">
        <f>VLOOKUP(Q152,Aralıklar!$E$2:$G$5,3,1)</f>
        <v>1</v>
      </c>
      <c r="S152" s="33">
        <f>IFERROR(VLOOKUP(A152,Devamsızlıklar!A:K,9,0),0)</f>
        <v>0</v>
      </c>
      <c r="T152" s="33">
        <f>VLOOKUP(S152,Aralıklar!$I$2:$K$6,3,1)</f>
        <v>50</v>
      </c>
      <c r="U152" s="33">
        <f>IFERROR(VLOOKUP(A152,Devamsızlıklar!A:K,11,0),0)</f>
        <v>0</v>
      </c>
      <c r="V152" s="33">
        <f>VLOOKUP(U152,Aralıklar!$M$2:$O$6,3,1)</f>
        <v>50</v>
      </c>
      <c r="W152" s="40">
        <f>IF(X152=0,0,(T152+V152)*R152*VLOOKUP($W$2,'Kriter Ağırlık'!$A$1:$B$8,2,1)*E152)</f>
        <v>10</v>
      </c>
      <c r="X152" s="40">
        <f>IFERROR(VLOOKUP(A152,Devamsızlıklar!A:M,13,0),1)</f>
        <v>1</v>
      </c>
      <c r="Y152" s="40">
        <f>(OEE!$K$6*VLOOKUP($Y$2,'Kriter Ağırlık'!$A$1:$B$8,2,1))*X152*E152</f>
        <v>35</v>
      </c>
      <c r="Z152" s="40">
        <f>(TELEF!$I$10*VLOOKUP($Z$2,'Kriter Ağırlık'!$A$1:$B$8,2,1))*X152*E152</f>
        <v>15</v>
      </c>
      <c r="AA152" s="40">
        <f t="shared" si="13"/>
        <v>78</v>
      </c>
      <c r="AB152" s="1">
        <v>5</v>
      </c>
      <c r="AC152" s="33">
        <f>VLOOKUP(AB152,'Kriter Ağırlık'!$A$12:$C$17,3,0)</f>
        <v>18.5</v>
      </c>
      <c r="AD152" s="1">
        <v>3</v>
      </c>
      <c r="AE152" s="33">
        <f>VLOOKUP(AD152,'Kriter Ağırlık'!$E$12:$G$24,3,0)</f>
        <v>1.1499999999999999</v>
      </c>
      <c r="AF152" s="92">
        <f t="shared" si="14"/>
        <v>1659.4499999999998</v>
      </c>
      <c r="AG152" t="str">
        <f>VLOOKUP(A152,'Çalışan Listesi'!A:G,6,0)</f>
        <v>OPERATÖR</v>
      </c>
    </row>
    <row r="153" spans="1:33" x14ac:dyDescent="0.2">
      <c r="A153" s="2">
        <v>3864</v>
      </c>
      <c r="B153" s="3" t="s">
        <v>196</v>
      </c>
      <c r="C153" s="4">
        <v>42633</v>
      </c>
      <c r="D153" s="5">
        <f t="shared" si="15"/>
        <v>90</v>
      </c>
      <c r="E153" s="6">
        <f t="shared" si="12"/>
        <v>1</v>
      </c>
      <c r="F153" s="25" t="s">
        <v>421</v>
      </c>
      <c r="G153" s="3" t="s">
        <v>61</v>
      </c>
      <c r="H153" s="106" t="str">
        <f>VLOOKUP(A153,'Çalışan Listesi'!A:G,7,0)</f>
        <v>3.KADEME</v>
      </c>
      <c r="I153" s="65">
        <f>IFERROR(VLOOKUP(A153,'Kaizen Listesi'!A:H,8,0),0)</f>
        <v>0</v>
      </c>
      <c r="J153" s="65">
        <f>I153*VLOOKUP($I$2,'Kriter Ağırlık'!$A$1:$B$8,2,0)</f>
        <v>0</v>
      </c>
      <c r="K153" s="65">
        <f>IFERROR(VLOOKUP(A153,'Hata Kartı '!A:H,8,0),0)</f>
        <v>33.333333333333336</v>
      </c>
      <c r="L153" s="65">
        <f>K153*(VLOOKUP($K$2,'Kriter Ağırlık'!$A$1:$B$8,2,0))</f>
        <v>3.3333333333333339</v>
      </c>
      <c r="M153" s="65">
        <f>IFERROR(VLOOKUP(F153,'5S'!$B$8:$E$19,4,0),0)</f>
        <v>1</v>
      </c>
      <c r="N153" s="65">
        <f>VLOOKUP(M153,'5S'!$G$8:$I$14,3,1)*VLOOKUP($M$2,'Kriter Ağırlık'!$A$1:$B$8,2,0)*E153*X153</f>
        <v>8</v>
      </c>
      <c r="O153" s="1">
        <f>IFERROR(VLOOKUP(A153,Devamsızlıklar!A:K,10,0),0)</f>
        <v>0</v>
      </c>
      <c r="P153" s="40">
        <f>VLOOKUP(O153,Aralıklar!$A$2:$C$5,3,1)*VLOOKUP($O$2,'Kriter Ağırlık'!$A$1:$B$8,2,0)*E153*X153</f>
        <v>10</v>
      </c>
      <c r="Q153" s="1">
        <f>IFERROR(VLOOKUP(A153,Devamsızlıklar!A:K,8,0),0)</f>
        <v>0</v>
      </c>
      <c r="R153" s="33">
        <f>VLOOKUP(Q153,Aralıklar!$E$2:$G$5,3,1)</f>
        <v>1</v>
      </c>
      <c r="S153" s="33">
        <f>IFERROR(VLOOKUP(A153,Devamsızlıklar!A:K,9,0),0)</f>
        <v>0</v>
      </c>
      <c r="T153" s="33">
        <f>VLOOKUP(S153,Aralıklar!$I$2:$K$6,3,1)</f>
        <v>50</v>
      </c>
      <c r="U153" s="33">
        <f>IFERROR(VLOOKUP(A153,Devamsızlıklar!A:K,11,0),0)</f>
        <v>0</v>
      </c>
      <c r="V153" s="33">
        <f>VLOOKUP(U153,Aralıklar!$M$2:$O$6,3,1)</f>
        <v>50</v>
      </c>
      <c r="W153" s="40">
        <f>IF(X153=0,0,(T153+V153)*R153*VLOOKUP($W$2,'Kriter Ağırlık'!$A$1:$B$8,2,1)*E153)</f>
        <v>10</v>
      </c>
      <c r="X153" s="40">
        <f>IFERROR(VLOOKUP(A153,Devamsızlıklar!A:M,13,0),1)</f>
        <v>1</v>
      </c>
      <c r="Y153" s="40">
        <f>(OEE!$K$6*VLOOKUP($Y$2,'Kriter Ağırlık'!$A$1:$B$8,2,1))*X153*E153</f>
        <v>35</v>
      </c>
      <c r="Z153" s="40">
        <f>(TELEF!$I$10*VLOOKUP($Z$2,'Kriter Ağırlık'!$A$1:$B$8,2,1))*X153*E153</f>
        <v>15</v>
      </c>
      <c r="AA153" s="40">
        <f t="shared" si="13"/>
        <v>81.333333333333343</v>
      </c>
      <c r="AB153" s="1">
        <v>5</v>
      </c>
      <c r="AC153" s="33">
        <f>VLOOKUP(AB153,'Kriter Ağırlık'!$A$12:$C$17,3,0)</f>
        <v>18.5</v>
      </c>
      <c r="AD153" s="1">
        <v>3</v>
      </c>
      <c r="AE153" s="33">
        <f>VLOOKUP(AD153,'Kriter Ağırlık'!$E$12:$G$24,3,0)</f>
        <v>1.1499999999999999</v>
      </c>
      <c r="AF153" s="92">
        <f t="shared" si="14"/>
        <v>1730.3666666666666</v>
      </c>
      <c r="AG153" t="str">
        <f>VLOOKUP(A153,'Çalışan Listesi'!A:G,6,0)</f>
        <v>OPERATÖR</v>
      </c>
    </row>
    <row r="154" spans="1:33" s="122" customFormat="1" x14ac:dyDescent="0.2">
      <c r="A154" s="112">
        <v>3868</v>
      </c>
      <c r="B154" s="113" t="s">
        <v>197</v>
      </c>
      <c r="C154" s="114">
        <v>42639</v>
      </c>
      <c r="D154" s="115">
        <v>60</v>
      </c>
      <c r="E154" s="116">
        <f t="shared" si="12"/>
        <v>0.66666666666666663</v>
      </c>
      <c r="F154" s="117" t="s">
        <v>421</v>
      </c>
      <c r="G154" s="113" t="s">
        <v>198</v>
      </c>
      <c r="H154" s="118" t="str">
        <f>VLOOKUP(A154,'Çalışan Listesi'!A:G,7,0)</f>
        <v>3.KADEME</v>
      </c>
      <c r="I154" s="119">
        <f>IFERROR(VLOOKUP(A154,'Kaizen Listesi'!A:H,8,0),0)</f>
        <v>0</v>
      </c>
      <c r="J154" s="119">
        <f>I154*VLOOKUP($I$2,'Kriter Ağırlık'!$A$1:$B$8,2,0)</f>
        <v>0</v>
      </c>
      <c r="K154" s="119">
        <f>IFERROR(VLOOKUP(A154,'Hata Kartı '!A:H,8,0),0)</f>
        <v>75</v>
      </c>
      <c r="L154" s="119">
        <f>K154*(VLOOKUP($K$2,'Kriter Ağırlık'!$A$1:$B$8,2,0))</f>
        <v>7.5</v>
      </c>
      <c r="M154" s="119">
        <f>IFERROR(VLOOKUP(F154,'5S'!$B$8:$E$19,4,0),0)</f>
        <v>1</v>
      </c>
      <c r="N154" s="119">
        <f>VLOOKUP(M154,'5S'!$G$8:$I$14,3,1)*VLOOKUP($M$2,'Kriter Ağırlık'!$A$1:$B$8,2,0)*E154*X154</f>
        <v>4.3555555555555552</v>
      </c>
      <c r="O154" s="118">
        <f>IFERROR(VLOOKUP(A154,Devamsızlıklar!A:K,10,0),0)</f>
        <v>0</v>
      </c>
      <c r="P154" s="120">
        <f>VLOOKUP(O154,Aralıklar!$A$2:$C$5,3,1)*VLOOKUP($O$2,'Kriter Ağırlık'!$A$1:$B$8,2,0)*E154*X154</f>
        <v>5.4444444444444438</v>
      </c>
      <c r="Q154" s="76">
        <f>IFERROR(VLOOKUP(A154,Devamsızlıklar!A:K,8,0),0)</f>
        <v>0</v>
      </c>
      <c r="R154" s="76">
        <f>VLOOKUP(Q154,Aralıklar!$E$2:$G$5,3,1)</f>
        <v>1</v>
      </c>
      <c r="S154" s="76">
        <f>IFERROR(VLOOKUP(A154,Devamsızlıklar!A:K,9,0),0)</f>
        <v>11</v>
      </c>
      <c r="T154" s="76">
        <f>VLOOKUP(S154,Aralıklar!$I$2:$K$6,3,1)</f>
        <v>0</v>
      </c>
      <c r="U154" s="76">
        <f>IFERROR(VLOOKUP(A154,Devamsızlıklar!A:K,11,0),0)</f>
        <v>0</v>
      </c>
      <c r="V154" s="76">
        <f>VLOOKUP(U154,Aralıklar!$M$2:$O$6,3,1)</f>
        <v>50</v>
      </c>
      <c r="W154" s="120">
        <f>IF(X154=0,0,(T154+V154)*R154*VLOOKUP($W$2,'Kriter Ağırlık'!$A$1:$B$8,2,1)*E154)</f>
        <v>3.333333333333333</v>
      </c>
      <c r="X154" s="120">
        <f>IFERROR(VLOOKUP(A154,Devamsızlıklar!A:M,13,0),1)</f>
        <v>0.81666666666666665</v>
      </c>
      <c r="Y154" s="120">
        <f>(OEE!$K$6*VLOOKUP($Y$2,'Kriter Ağırlık'!$A$1:$B$8,2,1))*X154*E154</f>
        <v>19.055555555555554</v>
      </c>
      <c r="Z154" s="120">
        <f>(TELEF!$I$10*VLOOKUP($Z$2,'Kriter Ağırlık'!$A$1:$B$8,2,1))*X154*E154</f>
        <v>8.1666666666666661</v>
      </c>
      <c r="AA154" s="120">
        <f t="shared" si="13"/>
        <v>47.855555555555547</v>
      </c>
      <c r="AB154" s="118">
        <v>5</v>
      </c>
      <c r="AC154" s="118">
        <f>VLOOKUP(AB154,'Kriter Ağırlık'!$A$12:$C$17,3,0)</f>
        <v>18.5</v>
      </c>
      <c r="AD154" s="118">
        <v>3</v>
      </c>
      <c r="AE154" s="118">
        <f>VLOOKUP(AD154,'Kriter Ağırlık'!$E$12:$G$24,3,0)</f>
        <v>1.1499999999999999</v>
      </c>
      <c r="AF154" s="121">
        <f t="shared" si="14"/>
        <v>1018.1269444444442</v>
      </c>
      <c r="AG154" s="122" t="str">
        <f>VLOOKUP(A154,'Çalışan Listesi'!A:G,6,0)</f>
        <v>TAKIM LİDERİ YARDIMCISI</v>
      </c>
    </row>
    <row r="155" spans="1:33" x14ac:dyDescent="0.2">
      <c r="A155" s="2">
        <v>3875</v>
      </c>
      <c r="B155" s="3" t="s">
        <v>199</v>
      </c>
      <c r="C155" s="4">
        <v>42646</v>
      </c>
      <c r="D155" s="5">
        <f t="shared" ref="D155:D186" si="16">IF($AI$2-C155&gt;=90,90,$AI$2-C155)</f>
        <v>90</v>
      </c>
      <c r="E155" s="6">
        <f t="shared" si="12"/>
        <v>1</v>
      </c>
      <c r="F155" s="25" t="s">
        <v>421</v>
      </c>
      <c r="G155" s="3" t="s">
        <v>61</v>
      </c>
      <c r="H155" s="106" t="str">
        <f>VLOOKUP(A155,'Çalışan Listesi'!A:G,7,0)</f>
        <v>3.KADEME</v>
      </c>
      <c r="I155" s="65">
        <f>IFERROR(VLOOKUP(A155,'Kaizen Listesi'!A:H,8,0),0)</f>
        <v>0</v>
      </c>
      <c r="J155" s="65">
        <f>I155*VLOOKUP($I$2,'Kriter Ağırlık'!$A$1:$B$8,2,0)</f>
        <v>0</v>
      </c>
      <c r="K155" s="65">
        <f>IFERROR(VLOOKUP(A155,'Hata Kartı '!A:H,8,0),0)</f>
        <v>16.666666666666668</v>
      </c>
      <c r="L155" s="65">
        <f>K155*(VLOOKUP($K$2,'Kriter Ağırlık'!$A$1:$B$8,2,0))</f>
        <v>1.666666666666667</v>
      </c>
      <c r="M155" s="65">
        <f>IFERROR(VLOOKUP(F155,'5S'!$B$8:$E$19,4,0),0)</f>
        <v>1</v>
      </c>
      <c r="N155" s="65">
        <f>VLOOKUP(M155,'5S'!$G$8:$I$14,3,1)*VLOOKUP($M$2,'Kriter Ağırlık'!$A$1:$B$8,2,0)*E155*X155</f>
        <v>8</v>
      </c>
      <c r="O155" s="1">
        <f>IFERROR(VLOOKUP(A155,Devamsızlıklar!A:K,10,0),0)</f>
        <v>0</v>
      </c>
      <c r="P155" s="40">
        <f>VLOOKUP(O155,Aralıklar!$A$2:$C$5,3,1)*VLOOKUP($O$2,'Kriter Ağırlık'!$A$1:$B$8,2,0)*E155*X155</f>
        <v>10</v>
      </c>
      <c r="Q155" s="1">
        <f>IFERROR(VLOOKUP(A155,Devamsızlıklar!A:K,8,0),0)</f>
        <v>0</v>
      </c>
      <c r="R155" s="33">
        <f>VLOOKUP(Q155,Aralıklar!$E$2:$G$5,3,1)</f>
        <v>1</v>
      </c>
      <c r="S155" s="33">
        <f>IFERROR(VLOOKUP(A155,Devamsızlıklar!A:K,9,0),0)</f>
        <v>0</v>
      </c>
      <c r="T155" s="33">
        <f>VLOOKUP(S155,Aralıklar!$I$2:$K$6,3,1)</f>
        <v>50</v>
      </c>
      <c r="U155" s="33">
        <f>IFERROR(VLOOKUP(A155,Devamsızlıklar!A:K,11,0),0)</f>
        <v>0</v>
      </c>
      <c r="V155" s="33">
        <f>VLOOKUP(U155,Aralıklar!$M$2:$O$6,3,1)</f>
        <v>50</v>
      </c>
      <c r="W155" s="40">
        <f>IF(X155=0,0,(T155+V155)*R155*VLOOKUP($W$2,'Kriter Ağırlık'!$A$1:$B$8,2,1)*E155)</f>
        <v>10</v>
      </c>
      <c r="X155" s="40">
        <f>IFERROR(VLOOKUP(A155,Devamsızlıklar!A:M,13,0),1)</f>
        <v>1</v>
      </c>
      <c r="Y155" s="40">
        <f>(OEE!$K$6*VLOOKUP($Y$2,'Kriter Ağırlık'!$A$1:$B$8,2,1))*X155*E155</f>
        <v>35</v>
      </c>
      <c r="Z155" s="40">
        <f>(TELEF!$I$10*VLOOKUP($Z$2,'Kriter Ağırlık'!$A$1:$B$8,2,1))*X155*E155</f>
        <v>15</v>
      </c>
      <c r="AA155" s="40">
        <f t="shared" si="13"/>
        <v>79.666666666666671</v>
      </c>
      <c r="AB155" s="1">
        <v>5</v>
      </c>
      <c r="AC155" s="33">
        <f>VLOOKUP(AB155,'Kriter Ağırlık'!$A$12:$C$17,3,0)</f>
        <v>18.5</v>
      </c>
      <c r="AD155" s="1">
        <v>3</v>
      </c>
      <c r="AE155" s="33">
        <f>VLOOKUP(AD155,'Kriter Ağırlık'!$E$12:$G$24,3,0)</f>
        <v>1.1499999999999999</v>
      </c>
      <c r="AF155" s="92">
        <f t="shared" si="14"/>
        <v>1694.9083333333333</v>
      </c>
      <c r="AG155" t="str">
        <f>VLOOKUP(A155,'Çalışan Listesi'!A:G,6,0)</f>
        <v>OPERATÖR</v>
      </c>
    </row>
    <row r="156" spans="1:33" x14ac:dyDescent="0.2">
      <c r="A156" s="2">
        <v>3878</v>
      </c>
      <c r="B156" s="3" t="s">
        <v>200</v>
      </c>
      <c r="C156" s="4">
        <v>42653</v>
      </c>
      <c r="D156" s="5">
        <f t="shared" si="16"/>
        <v>90</v>
      </c>
      <c r="E156" s="6">
        <f t="shared" si="12"/>
        <v>1</v>
      </c>
      <c r="F156" s="25" t="s">
        <v>429</v>
      </c>
      <c r="G156" s="3" t="s">
        <v>46</v>
      </c>
      <c r="H156" s="106" t="str">
        <f>VLOOKUP(A156,'Çalışan Listesi'!A:G,7,0)</f>
        <v>3.KADEME</v>
      </c>
      <c r="I156" s="65">
        <f>IFERROR(VLOOKUP(A156,'Kaizen Listesi'!A:H,8,0),0)</f>
        <v>0</v>
      </c>
      <c r="J156" s="65">
        <f>I156*VLOOKUP($I$2,'Kriter Ağırlık'!$A$1:$B$8,2,0)</f>
        <v>0</v>
      </c>
      <c r="K156" s="65">
        <f>IFERROR(VLOOKUP(A156,'Hata Kartı '!A:H,8,0),0)</f>
        <v>100</v>
      </c>
      <c r="L156" s="65">
        <f>K156*(VLOOKUP($K$2,'Kriter Ağırlık'!$A$1:$B$8,2,0))</f>
        <v>10</v>
      </c>
      <c r="M156" s="65">
        <f>IFERROR(VLOOKUP(F156,'5S'!$B$8:$E$19,4,0),0)</f>
        <v>1</v>
      </c>
      <c r="N156" s="65">
        <f>VLOOKUP(M156,'5S'!$G$8:$I$14,3,1)*VLOOKUP($M$2,'Kriter Ağırlık'!$A$1:$B$8,2,0)*E156*X156</f>
        <v>7.9111111111111114</v>
      </c>
      <c r="O156" s="1">
        <f>IFERROR(VLOOKUP(A156,Devamsızlıklar!A:K,10,0),0)</f>
        <v>0</v>
      </c>
      <c r="P156" s="40">
        <f>VLOOKUP(O156,Aralıklar!$A$2:$C$5,3,1)*VLOOKUP($O$2,'Kriter Ağırlık'!$A$1:$B$8,2,0)*E156*X156</f>
        <v>9.8888888888888893</v>
      </c>
      <c r="Q156" s="1">
        <f>IFERROR(VLOOKUP(A156,Devamsızlıklar!A:K,8,0),0)</f>
        <v>0</v>
      </c>
      <c r="R156" s="33">
        <f>VLOOKUP(Q156,Aralıklar!$E$2:$G$5,3,1)</f>
        <v>1</v>
      </c>
      <c r="S156" s="33">
        <f>IFERROR(VLOOKUP(A156,Devamsızlıklar!A:K,9,0),0)</f>
        <v>0</v>
      </c>
      <c r="T156" s="33">
        <f>VLOOKUP(S156,Aralıklar!$I$2:$K$6,3,1)</f>
        <v>50</v>
      </c>
      <c r="U156" s="33">
        <f>IFERROR(VLOOKUP(A156,Devamsızlıklar!A:K,11,0),0)</f>
        <v>1</v>
      </c>
      <c r="V156" s="33">
        <f>VLOOKUP(U156,Aralıklar!$M$2:$O$6,3,1)</f>
        <v>50</v>
      </c>
      <c r="W156" s="40">
        <f>IF(X156=0,0,(T156+V156)*R156*VLOOKUP($W$2,'Kriter Ağırlık'!$A$1:$B$8,2,1)*E156)</f>
        <v>10</v>
      </c>
      <c r="X156" s="40">
        <f>IFERROR(VLOOKUP(A156,Devamsızlıklar!A:M,13,0),1)</f>
        <v>0.98888888888888893</v>
      </c>
      <c r="Y156" s="40">
        <f>(OEE!$K$6*VLOOKUP($Y$2,'Kriter Ağırlık'!$A$1:$B$8,2,1))*X156*E156</f>
        <v>34.611111111111114</v>
      </c>
      <c r="Z156" s="40">
        <f>(TELEF!$I$10*VLOOKUP($Z$2,'Kriter Ağırlık'!$A$1:$B$8,2,1))*X156*E156</f>
        <v>14.833333333333334</v>
      </c>
      <c r="AA156" s="40">
        <f t="shared" si="13"/>
        <v>87.24444444444444</v>
      </c>
      <c r="AB156" s="1">
        <v>5</v>
      </c>
      <c r="AC156" s="33">
        <f>VLOOKUP(AB156,'Kriter Ağırlık'!$A$12:$C$17,3,0)</f>
        <v>18.5</v>
      </c>
      <c r="AD156" s="106">
        <v>3</v>
      </c>
      <c r="AE156" s="33">
        <f>VLOOKUP(AD156,'Kriter Ağırlık'!$E$12:$G$24,3,0)</f>
        <v>1.1499999999999999</v>
      </c>
      <c r="AF156" s="92">
        <f t="shared" si="14"/>
        <v>1856.1255555555554</v>
      </c>
      <c r="AG156" t="str">
        <f>VLOOKUP(A156,'Çalışan Listesi'!A:G,6,0)</f>
        <v>OPERATÖR</v>
      </c>
    </row>
    <row r="157" spans="1:33" x14ac:dyDescent="0.2">
      <c r="A157" s="2">
        <v>3886</v>
      </c>
      <c r="B157" s="3" t="s">
        <v>201</v>
      </c>
      <c r="C157" s="4">
        <v>42667</v>
      </c>
      <c r="D157" s="5">
        <f t="shared" si="16"/>
        <v>90</v>
      </c>
      <c r="E157" s="6">
        <f t="shared" si="12"/>
        <v>1</v>
      </c>
      <c r="F157" s="25" t="s">
        <v>422</v>
      </c>
      <c r="G157" s="3" t="s">
        <v>54</v>
      </c>
      <c r="H157" s="106" t="str">
        <f>VLOOKUP(A157,'Çalışan Listesi'!A:G,7,0)</f>
        <v>2.KADEME</v>
      </c>
      <c r="I157" s="65">
        <f>IFERROR(VLOOKUP(A157,'Kaizen Listesi'!A:H,8,0),0)</f>
        <v>0</v>
      </c>
      <c r="J157" s="65">
        <f>I157*VLOOKUP($I$2,'Kriter Ağırlık'!$A$1:$B$8,2,0)</f>
        <v>0</v>
      </c>
      <c r="K157" s="65">
        <f>IFERROR(VLOOKUP(A157,'Hata Kartı '!A:H,8,0),0)</f>
        <v>0</v>
      </c>
      <c r="L157" s="65">
        <f>K157*(VLOOKUP($K$2,'Kriter Ağırlık'!$A$1:$B$8,2,0))</f>
        <v>0</v>
      </c>
      <c r="M157" s="65">
        <f>IFERROR(VLOOKUP(F157,'5S'!$B$8:$E$19,4,0),0)</f>
        <v>1</v>
      </c>
      <c r="N157" s="65">
        <f>VLOOKUP(M157,'5S'!$G$8:$I$14,3,1)*VLOOKUP($M$2,'Kriter Ağırlık'!$A$1:$B$8,2,0)*E157*X157</f>
        <v>7.4666666666666668</v>
      </c>
      <c r="O157" s="1">
        <f>IFERROR(VLOOKUP(A157,Devamsızlıklar!A:K,10,0),0)</f>
        <v>0</v>
      </c>
      <c r="P157" s="40">
        <f>VLOOKUP(O157,Aralıklar!$A$2:$C$5,3,1)*VLOOKUP($O$2,'Kriter Ağırlık'!$A$1:$B$8,2,0)*E157*X157</f>
        <v>9.3333333333333339</v>
      </c>
      <c r="Q157" s="1">
        <f>IFERROR(VLOOKUP(A157,Devamsızlıklar!A:K,8,0),0)</f>
        <v>0</v>
      </c>
      <c r="R157" s="33">
        <f>VLOOKUP(Q157,Aralıklar!$E$2:$G$5,3,1)</f>
        <v>1</v>
      </c>
      <c r="S157" s="33">
        <f>IFERROR(VLOOKUP(A157,Devamsızlıklar!A:K,9,0),0)</f>
        <v>0</v>
      </c>
      <c r="T157" s="33">
        <f>VLOOKUP(S157,Aralıklar!$I$2:$K$6,3,1)</f>
        <v>50</v>
      </c>
      <c r="U157" s="33">
        <f>IFERROR(VLOOKUP(A157,Devamsızlıklar!A:K,11,0),0)</f>
        <v>0</v>
      </c>
      <c r="V157" s="33">
        <f>VLOOKUP(U157,Aralıklar!$M$2:$O$6,3,1)</f>
        <v>50</v>
      </c>
      <c r="W157" s="40">
        <f>IF(X157=0,0,(T157+V157)*R157*VLOOKUP($W$2,'Kriter Ağırlık'!$A$1:$B$8,2,1)*E157)</f>
        <v>10</v>
      </c>
      <c r="X157" s="40">
        <f>IFERROR(VLOOKUP(A157,Devamsızlıklar!A:M,13,0),1)</f>
        <v>0.93333333333333335</v>
      </c>
      <c r="Y157" s="40">
        <f>(OEE!$K$6*VLOOKUP($Y$2,'Kriter Ağırlık'!$A$1:$B$8,2,1))*X157*E157</f>
        <v>32.666666666666664</v>
      </c>
      <c r="Z157" s="40">
        <f>(TELEF!$I$10*VLOOKUP($Z$2,'Kriter Ağırlık'!$A$1:$B$8,2,1))*X157*E157</f>
        <v>14</v>
      </c>
      <c r="AA157" s="40">
        <f t="shared" si="13"/>
        <v>73.466666666666669</v>
      </c>
      <c r="AB157" s="1">
        <v>5</v>
      </c>
      <c r="AC157" s="33">
        <f>VLOOKUP(AB157,'Kriter Ağırlık'!$A$12:$C$17,3,0)</f>
        <v>18.5</v>
      </c>
      <c r="AD157" s="106">
        <v>4</v>
      </c>
      <c r="AE157" s="33">
        <f>VLOOKUP(AD157,'Kriter Ağırlık'!$E$12:$G$24,3,0)</f>
        <v>1.077</v>
      </c>
      <c r="AF157" s="92">
        <f t="shared" si="14"/>
        <v>1463.7866000000001</v>
      </c>
      <c r="AG157" t="str">
        <f>VLOOKUP(A157,'Çalışan Listesi'!A:G,6,0)</f>
        <v>OPERATÖR</v>
      </c>
    </row>
    <row r="158" spans="1:33" x14ac:dyDescent="0.2">
      <c r="A158" s="2">
        <v>3911</v>
      </c>
      <c r="B158" s="3" t="s">
        <v>202</v>
      </c>
      <c r="C158" s="4">
        <v>42702</v>
      </c>
      <c r="D158" s="5">
        <f t="shared" si="16"/>
        <v>90</v>
      </c>
      <c r="E158" s="6">
        <f t="shared" si="12"/>
        <v>1</v>
      </c>
      <c r="F158" s="25" t="s">
        <v>426</v>
      </c>
      <c r="G158" s="3" t="s">
        <v>69</v>
      </c>
      <c r="H158" s="106" t="str">
        <f>VLOOKUP(A158,'Çalışan Listesi'!A:G,7,0)</f>
        <v>3.KADEME</v>
      </c>
      <c r="I158" s="65">
        <f>IFERROR(VLOOKUP(A158,'Kaizen Listesi'!A:H,8,0),0)</f>
        <v>33.333333333333336</v>
      </c>
      <c r="J158" s="65">
        <f>I158*VLOOKUP($I$2,'Kriter Ağırlık'!$A$1:$B$8,2,0)</f>
        <v>4</v>
      </c>
      <c r="K158" s="65">
        <f>IFERROR(VLOOKUP(A158,'Hata Kartı '!A:H,8,0),0)</f>
        <v>66.666666666666671</v>
      </c>
      <c r="L158" s="65">
        <f>K158*(VLOOKUP($K$2,'Kriter Ağırlık'!$A$1:$B$8,2,0))</f>
        <v>6.6666666666666679</v>
      </c>
      <c r="M158" s="65">
        <f>IFERROR(VLOOKUP(F158,'5S'!$B$8:$E$19,4,0),0)</f>
        <v>1</v>
      </c>
      <c r="N158" s="65">
        <f>VLOOKUP(M158,'5S'!$G$8:$I$14,3,1)*VLOOKUP($M$2,'Kriter Ağırlık'!$A$1:$B$8,2,0)*E158*X158</f>
        <v>8</v>
      </c>
      <c r="O158" s="1">
        <f>IFERROR(VLOOKUP(A158,Devamsızlıklar!A:K,10,0),0)</f>
        <v>0</v>
      </c>
      <c r="P158" s="40">
        <f>VLOOKUP(O158,Aralıklar!$A$2:$C$5,3,1)*VLOOKUP($O$2,'Kriter Ağırlık'!$A$1:$B$8,2,0)*E158*X158</f>
        <v>10</v>
      </c>
      <c r="Q158" s="1">
        <f>IFERROR(VLOOKUP(A158,Devamsızlıklar!A:K,8,0),0)</f>
        <v>0</v>
      </c>
      <c r="R158" s="33">
        <f>VLOOKUP(Q158,Aralıklar!$E$2:$G$5,3,1)</f>
        <v>1</v>
      </c>
      <c r="S158" s="33">
        <f>IFERROR(VLOOKUP(A158,Devamsızlıklar!A:K,9,0),0)</f>
        <v>0</v>
      </c>
      <c r="T158" s="33">
        <f>VLOOKUP(S158,Aralıklar!$I$2:$K$6,3,1)</f>
        <v>50</v>
      </c>
      <c r="U158" s="33">
        <f>IFERROR(VLOOKUP(A158,Devamsızlıklar!A:K,11,0),0)</f>
        <v>0</v>
      </c>
      <c r="V158" s="33">
        <f>VLOOKUP(U158,Aralıklar!$M$2:$O$6,3,1)</f>
        <v>50</v>
      </c>
      <c r="W158" s="40">
        <f>IF(X158=0,0,(T158+V158)*R158*VLOOKUP($W$2,'Kriter Ağırlık'!$A$1:$B$8,2,1)*E158)</f>
        <v>10</v>
      </c>
      <c r="X158" s="40">
        <f>IFERROR(VLOOKUP(A158,Devamsızlıklar!A:M,13,0),1)</f>
        <v>1</v>
      </c>
      <c r="Y158" s="40">
        <f>(OEE!$K$6*VLOOKUP($Y$2,'Kriter Ağırlık'!$A$1:$B$8,2,1))*X158*E158</f>
        <v>35</v>
      </c>
      <c r="Z158" s="40">
        <f>(TELEF!$I$10*VLOOKUP($Z$2,'Kriter Ağırlık'!$A$1:$B$8,2,1))*X158*E158</f>
        <v>15</v>
      </c>
      <c r="AA158" s="40">
        <f t="shared" si="13"/>
        <v>88.666666666666671</v>
      </c>
      <c r="AB158" s="1">
        <v>3</v>
      </c>
      <c r="AC158" s="33">
        <f>VLOOKUP(AB158,'Kriter Ağırlık'!$A$12:$C$17,3,0)</f>
        <v>0</v>
      </c>
      <c r="AD158" s="1">
        <v>3</v>
      </c>
      <c r="AE158" s="33">
        <f>VLOOKUP(AD158,'Kriter Ağırlık'!$E$12:$G$24,3,0)</f>
        <v>1.1499999999999999</v>
      </c>
      <c r="AF158" s="92">
        <f t="shared" si="14"/>
        <v>0</v>
      </c>
      <c r="AG158" t="str">
        <f>VLOOKUP(A158,'Çalışan Listesi'!A:G,6,0)</f>
        <v>TAKIM LİDERİ</v>
      </c>
    </row>
    <row r="159" spans="1:33" x14ac:dyDescent="0.2">
      <c r="A159" s="2">
        <v>3913</v>
      </c>
      <c r="B159" s="3" t="s">
        <v>203</v>
      </c>
      <c r="C159" s="4">
        <v>42709</v>
      </c>
      <c r="D159" s="5">
        <f t="shared" si="16"/>
        <v>90</v>
      </c>
      <c r="E159" s="6">
        <f t="shared" si="12"/>
        <v>1</v>
      </c>
      <c r="F159" s="25" t="s">
        <v>422</v>
      </c>
      <c r="G159" s="3" t="s">
        <v>54</v>
      </c>
      <c r="H159" s="106" t="str">
        <f>VLOOKUP(A159,'Çalışan Listesi'!A:G,7,0)</f>
        <v>3.KADEME</v>
      </c>
      <c r="I159" s="65">
        <f>IFERROR(VLOOKUP(A159,'Kaizen Listesi'!A:H,8,0),0)</f>
        <v>0</v>
      </c>
      <c r="J159" s="65">
        <f>I159*VLOOKUP($I$2,'Kriter Ağırlık'!$A$1:$B$8,2,0)</f>
        <v>0</v>
      </c>
      <c r="K159" s="65">
        <f>IFERROR(VLOOKUP(A159,'Hata Kartı '!A:H,8,0),0)</f>
        <v>33.333333333333336</v>
      </c>
      <c r="L159" s="65">
        <f>K159*(VLOOKUP($K$2,'Kriter Ağırlık'!$A$1:$B$8,2,0))</f>
        <v>3.3333333333333339</v>
      </c>
      <c r="M159" s="65">
        <f>IFERROR(VLOOKUP(F159,'5S'!$B$8:$E$19,4,0),0)</f>
        <v>1</v>
      </c>
      <c r="N159" s="65">
        <f>VLOOKUP(M159,'5S'!$G$8:$I$14,3,1)*VLOOKUP($M$2,'Kriter Ağırlık'!$A$1:$B$8,2,0)*E159*X159</f>
        <v>7.4666666666666668</v>
      </c>
      <c r="O159" s="1">
        <f>IFERROR(VLOOKUP(A159,Devamsızlıklar!A:K,10,0),0)</f>
        <v>0</v>
      </c>
      <c r="P159" s="40">
        <f>VLOOKUP(O159,Aralıklar!$A$2:$C$5,3,1)*VLOOKUP($O$2,'Kriter Ağırlık'!$A$1:$B$8,2,0)*E159*X159</f>
        <v>9.3333333333333339</v>
      </c>
      <c r="Q159" s="1">
        <f>IFERROR(VLOOKUP(A159,Devamsızlıklar!A:K,8,0),0)</f>
        <v>0</v>
      </c>
      <c r="R159" s="33">
        <f>VLOOKUP(Q159,Aralıklar!$E$2:$G$5,3,1)</f>
        <v>1</v>
      </c>
      <c r="S159" s="33">
        <f>IFERROR(VLOOKUP(A159,Devamsızlıklar!A:K,9,0),0)</f>
        <v>0</v>
      </c>
      <c r="T159" s="33">
        <f>VLOOKUP(S159,Aralıklar!$I$2:$K$6,3,1)</f>
        <v>50</v>
      </c>
      <c r="U159" s="33">
        <f>IFERROR(VLOOKUP(A159,Devamsızlıklar!A:K,11,0),0)</f>
        <v>0</v>
      </c>
      <c r="V159" s="33">
        <f>VLOOKUP(U159,Aralıklar!$M$2:$O$6,3,1)</f>
        <v>50</v>
      </c>
      <c r="W159" s="40">
        <f>IF(X159=0,0,(T159+V159)*R159*VLOOKUP($W$2,'Kriter Ağırlık'!$A$1:$B$8,2,1)*E159)</f>
        <v>10</v>
      </c>
      <c r="X159" s="40">
        <f>IFERROR(VLOOKUP(A159,Devamsızlıklar!A:M,13,0),1)</f>
        <v>0.93333333333333335</v>
      </c>
      <c r="Y159" s="40">
        <f>(OEE!$K$6*VLOOKUP($Y$2,'Kriter Ağırlık'!$A$1:$B$8,2,1))*X159*E159</f>
        <v>32.666666666666664</v>
      </c>
      <c r="Z159" s="40">
        <f>(TELEF!$I$10*VLOOKUP($Z$2,'Kriter Ağırlık'!$A$1:$B$8,2,1))*X159*E159</f>
        <v>14</v>
      </c>
      <c r="AA159" s="40">
        <f t="shared" si="13"/>
        <v>76.8</v>
      </c>
      <c r="AB159" s="1">
        <v>5</v>
      </c>
      <c r="AC159" s="33">
        <f>VLOOKUP(AB159,'Kriter Ağırlık'!$A$12:$C$17,3,0)</f>
        <v>18.5</v>
      </c>
      <c r="AD159" s="1">
        <v>3</v>
      </c>
      <c r="AE159" s="33">
        <f>VLOOKUP(AD159,'Kriter Ağırlık'!$E$12:$G$24,3,0)</f>
        <v>1.1499999999999999</v>
      </c>
      <c r="AF159" s="92">
        <f t="shared" si="14"/>
        <v>1633.9199999999998</v>
      </c>
      <c r="AG159" t="str">
        <f>VLOOKUP(A159,'Çalışan Listesi'!A:G,6,0)</f>
        <v>OPERATÖR</v>
      </c>
    </row>
    <row r="160" spans="1:33" x14ac:dyDescent="0.2">
      <c r="A160" s="2">
        <v>3927</v>
      </c>
      <c r="B160" s="3" t="s">
        <v>204</v>
      </c>
      <c r="C160" s="4">
        <v>42730</v>
      </c>
      <c r="D160" s="5">
        <f t="shared" si="16"/>
        <v>90</v>
      </c>
      <c r="E160" s="6">
        <f t="shared" si="12"/>
        <v>1</v>
      </c>
      <c r="F160" s="25" t="s">
        <v>422</v>
      </c>
      <c r="G160" s="3" t="s">
        <v>54</v>
      </c>
      <c r="H160" s="106" t="str">
        <f>VLOOKUP(A160,'Çalışan Listesi'!A:G,7,0)</f>
        <v>3.KADEME</v>
      </c>
      <c r="I160" s="65">
        <f>IFERROR(VLOOKUP(A160,'Kaizen Listesi'!A:H,8,0),0)</f>
        <v>0</v>
      </c>
      <c r="J160" s="65">
        <f>I160*VLOOKUP($I$2,'Kriter Ağırlık'!$A$1:$B$8,2,0)</f>
        <v>0</v>
      </c>
      <c r="K160" s="65">
        <f>IFERROR(VLOOKUP(A160,'Hata Kartı '!A:H,8,0),0)</f>
        <v>0</v>
      </c>
      <c r="L160" s="65">
        <f>K160*(VLOOKUP($K$2,'Kriter Ağırlık'!$A$1:$B$8,2,0))</f>
        <v>0</v>
      </c>
      <c r="M160" s="65">
        <f>IFERROR(VLOOKUP(F160,'5S'!$B$8:$E$19,4,0),0)</f>
        <v>1</v>
      </c>
      <c r="N160" s="65">
        <f>VLOOKUP(M160,'5S'!$G$8:$I$14,3,1)*VLOOKUP($M$2,'Kriter Ağırlık'!$A$1:$B$8,2,0)*E160*X160</f>
        <v>8</v>
      </c>
      <c r="O160" s="1">
        <f>IFERROR(VLOOKUP(A160,Devamsızlıklar!A:K,10,0),0)</f>
        <v>0</v>
      </c>
      <c r="P160" s="40">
        <f>VLOOKUP(O160,Aralıklar!$A$2:$C$5,3,1)*VLOOKUP($O$2,'Kriter Ağırlık'!$A$1:$B$8,2,0)*E160*X160</f>
        <v>10</v>
      </c>
      <c r="Q160" s="1">
        <f>IFERROR(VLOOKUP(A160,Devamsızlıklar!A:K,8,0),0)</f>
        <v>0</v>
      </c>
      <c r="R160" s="33">
        <f>VLOOKUP(Q160,Aralıklar!$E$2:$G$5,3,1)</f>
        <v>1</v>
      </c>
      <c r="S160" s="33">
        <f>IFERROR(VLOOKUP(A160,Devamsızlıklar!A:K,9,0),0)</f>
        <v>0</v>
      </c>
      <c r="T160" s="33">
        <f>VLOOKUP(S160,Aralıklar!$I$2:$K$6,3,1)</f>
        <v>50</v>
      </c>
      <c r="U160" s="33">
        <f>IFERROR(VLOOKUP(A160,Devamsızlıklar!A:K,11,0),0)</f>
        <v>0</v>
      </c>
      <c r="V160" s="33">
        <f>VLOOKUP(U160,Aralıklar!$M$2:$O$6,3,1)</f>
        <v>50</v>
      </c>
      <c r="W160" s="40">
        <f>IF(X160=0,0,(T160+V160)*R160*VLOOKUP($W$2,'Kriter Ağırlık'!$A$1:$B$8,2,1)*E160)</f>
        <v>10</v>
      </c>
      <c r="X160" s="40">
        <f>IFERROR(VLOOKUP(A160,Devamsızlıklar!A:M,13,0),1)</f>
        <v>1</v>
      </c>
      <c r="Y160" s="40">
        <f>(OEE!$K$6*VLOOKUP($Y$2,'Kriter Ağırlık'!$A$1:$B$8,2,1))*X160*E160</f>
        <v>35</v>
      </c>
      <c r="Z160" s="40">
        <f>(TELEF!$I$10*VLOOKUP($Z$2,'Kriter Ağırlık'!$A$1:$B$8,2,1))*X160*E160</f>
        <v>15</v>
      </c>
      <c r="AA160" s="40">
        <f t="shared" si="13"/>
        <v>78</v>
      </c>
      <c r="AB160" s="1">
        <v>5</v>
      </c>
      <c r="AC160" s="33">
        <f>VLOOKUP(AB160,'Kriter Ağırlık'!$A$12:$C$17,3,0)</f>
        <v>18.5</v>
      </c>
      <c r="AD160" s="1">
        <v>3</v>
      </c>
      <c r="AE160" s="33">
        <f>VLOOKUP(AD160,'Kriter Ağırlık'!$E$12:$G$24,3,0)</f>
        <v>1.1499999999999999</v>
      </c>
      <c r="AF160" s="92">
        <f t="shared" si="14"/>
        <v>1659.4499999999998</v>
      </c>
      <c r="AG160" t="str">
        <f>VLOOKUP(A160,'Çalışan Listesi'!A:G,6,0)</f>
        <v>OPERATÖR</v>
      </c>
    </row>
    <row r="161" spans="1:33" x14ac:dyDescent="0.2">
      <c r="A161" s="2">
        <v>3930</v>
      </c>
      <c r="B161" s="3" t="s">
        <v>205</v>
      </c>
      <c r="C161" s="4">
        <v>42737</v>
      </c>
      <c r="D161" s="5">
        <f t="shared" si="16"/>
        <v>90</v>
      </c>
      <c r="E161" s="6">
        <f t="shared" si="12"/>
        <v>1</v>
      </c>
      <c r="F161" s="25" t="s">
        <v>424</v>
      </c>
      <c r="G161" s="3" t="s">
        <v>44</v>
      </c>
      <c r="H161" s="106" t="str">
        <f>VLOOKUP(A161,'Çalışan Listesi'!A:G,7,0)</f>
        <v>3.KADEME</v>
      </c>
      <c r="I161" s="65">
        <f>IFERROR(VLOOKUP(A161,'Kaizen Listesi'!A:H,8,0),0)</f>
        <v>66.666666666666671</v>
      </c>
      <c r="J161" s="65">
        <f>I161*VLOOKUP($I$2,'Kriter Ağırlık'!$A$1:$B$8,2,0)</f>
        <v>8</v>
      </c>
      <c r="K161" s="65">
        <f>IFERROR(VLOOKUP(A161,'Hata Kartı '!A:H,8,0),0)</f>
        <v>100</v>
      </c>
      <c r="L161" s="65">
        <f>K161*(VLOOKUP($K$2,'Kriter Ağırlık'!$A$1:$B$8,2,0))</f>
        <v>10</v>
      </c>
      <c r="M161" s="65">
        <f>IFERROR(VLOOKUP(F161,'5S'!$B$8:$E$19,4,0),0)</f>
        <v>1</v>
      </c>
      <c r="N161" s="65">
        <f>VLOOKUP(M161,'5S'!$G$8:$I$14,3,1)*VLOOKUP($M$2,'Kriter Ağırlık'!$A$1:$B$8,2,0)*E161*X161</f>
        <v>8</v>
      </c>
      <c r="O161" s="1">
        <f>IFERROR(VLOOKUP(A161,Devamsızlıklar!A:K,10,0),0)</f>
        <v>0</v>
      </c>
      <c r="P161" s="40">
        <f>VLOOKUP(O161,Aralıklar!$A$2:$C$5,3,1)*VLOOKUP($O$2,'Kriter Ağırlık'!$A$1:$B$8,2,0)*E161*X161</f>
        <v>10</v>
      </c>
      <c r="Q161" s="1">
        <f>IFERROR(VLOOKUP(A161,Devamsızlıklar!A:K,8,0),0)</f>
        <v>0</v>
      </c>
      <c r="R161" s="33">
        <f>VLOOKUP(Q161,Aralıklar!$E$2:$G$5,3,1)</f>
        <v>1</v>
      </c>
      <c r="S161" s="33">
        <f>IFERROR(VLOOKUP(A161,Devamsızlıklar!A:K,9,0),0)</f>
        <v>0</v>
      </c>
      <c r="T161" s="33">
        <f>VLOOKUP(S161,Aralıklar!$I$2:$K$6,3,1)</f>
        <v>50</v>
      </c>
      <c r="U161" s="33">
        <f>IFERROR(VLOOKUP(A161,Devamsızlıklar!A:K,11,0),0)</f>
        <v>0</v>
      </c>
      <c r="V161" s="33">
        <f>VLOOKUP(U161,Aralıklar!$M$2:$O$6,3,1)</f>
        <v>50</v>
      </c>
      <c r="W161" s="40">
        <f>IF(X161=0,0,(T161+V161)*R161*VLOOKUP($W$2,'Kriter Ağırlık'!$A$1:$B$8,2,1)*E161)</f>
        <v>10</v>
      </c>
      <c r="X161" s="40">
        <f>IFERROR(VLOOKUP(A161,Devamsızlıklar!A:M,13,0),1)</f>
        <v>1</v>
      </c>
      <c r="Y161" s="40">
        <f>(OEE!$K$6*VLOOKUP($Y$2,'Kriter Ağırlık'!$A$1:$B$8,2,1))*X161*E161</f>
        <v>35</v>
      </c>
      <c r="Z161" s="40">
        <f>(TELEF!$I$10*VLOOKUP($Z$2,'Kriter Ağırlık'!$A$1:$B$8,2,1))*X161*E161</f>
        <v>15</v>
      </c>
      <c r="AA161" s="40">
        <f t="shared" si="13"/>
        <v>96</v>
      </c>
      <c r="AB161" s="1">
        <v>5</v>
      </c>
      <c r="AC161" s="33">
        <f>VLOOKUP(AB161,'Kriter Ağırlık'!$A$12:$C$17,3,0)</f>
        <v>18.5</v>
      </c>
      <c r="AD161" s="106">
        <v>3</v>
      </c>
      <c r="AE161" s="33">
        <f>VLOOKUP(AD161,'Kriter Ağırlık'!$E$12:$G$24,3,0)</f>
        <v>1.1499999999999999</v>
      </c>
      <c r="AF161" s="92">
        <f t="shared" si="14"/>
        <v>2042.3999999999999</v>
      </c>
      <c r="AG161" t="str">
        <f>VLOOKUP(A161,'Çalışan Listesi'!A:G,6,0)</f>
        <v>OPERATÖR</v>
      </c>
    </row>
    <row r="162" spans="1:33" x14ac:dyDescent="0.2">
      <c r="A162" s="2">
        <v>3936</v>
      </c>
      <c r="B162" s="3" t="s">
        <v>206</v>
      </c>
      <c r="C162" s="4">
        <v>42751</v>
      </c>
      <c r="D162" s="5">
        <f t="shared" si="16"/>
        <v>90</v>
      </c>
      <c r="E162" s="6">
        <f t="shared" si="12"/>
        <v>1</v>
      </c>
      <c r="F162" s="25" t="s">
        <v>421</v>
      </c>
      <c r="G162" s="3" t="s">
        <v>86</v>
      </c>
      <c r="H162" s="106" t="str">
        <f>VLOOKUP(A162,'Çalışan Listesi'!A:G,7,0)</f>
        <v>2.KADEME</v>
      </c>
      <c r="I162" s="65">
        <f>IFERROR(VLOOKUP(A162,'Kaizen Listesi'!A:H,8,0),0)</f>
        <v>0</v>
      </c>
      <c r="J162" s="65">
        <f>I162*VLOOKUP($I$2,'Kriter Ağırlık'!$A$1:$B$8,2,0)</f>
        <v>0</v>
      </c>
      <c r="K162" s="65">
        <f>IFERROR(VLOOKUP(A162,'Hata Kartı '!A:H,8,0),0)</f>
        <v>16.666666666666668</v>
      </c>
      <c r="L162" s="65">
        <f>K162*(VLOOKUP($K$2,'Kriter Ağırlık'!$A$1:$B$8,2,0))</f>
        <v>1.666666666666667</v>
      </c>
      <c r="M162" s="65">
        <f>IFERROR(VLOOKUP(F162,'5S'!$B$8:$E$19,4,0),0)</f>
        <v>1</v>
      </c>
      <c r="N162" s="65">
        <f>VLOOKUP(M162,'5S'!$G$8:$I$14,3,1)*VLOOKUP($M$2,'Kriter Ağırlık'!$A$1:$B$8,2,0)*E162*X162</f>
        <v>8</v>
      </c>
      <c r="O162" s="1">
        <f>IFERROR(VLOOKUP(A162,Devamsızlıklar!A:K,10,0),0)</f>
        <v>0</v>
      </c>
      <c r="P162" s="40">
        <f>VLOOKUP(O162,Aralıklar!$A$2:$C$5,3,1)*VLOOKUP($O$2,'Kriter Ağırlık'!$A$1:$B$8,2,0)*E162*X162</f>
        <v>10</v>
      </c>
      <c r="Q162" s="1">
        <f>IFERROR(VLOOKUP(A162,Devamsızlıklar!A:K,8,0),0)</f>
        <v>0</v>
      </c>
      <c r="R162" s="33">
        <f>VLOOKUP(Q162,Aralıklar!$E$2:$G$5,3,1)</f>
        <v>1</v>
      </c>
      <c r="S162" s="33">
        <f>IFERROR(VLOOKUP(A162,Devamsızlıklar!A:K,9,0),0)</f>
        <v>0</v>
      </c>
      <c r="T162" s="33">
        <f>VLOOKUP(S162,Aralıklar!$I$2:$K$6,3,1)</f>
        <v>50</v>
      </c>
      <c r="U162" s="33">
        <f>IFERROR(VLOOKUP(A162,Devamsızlıklar!A:K,11,0),0)</f>
        <v>0</v>
      </c>
      <c r="V162" s="33">
        <f>VLOOKUP(U162,Aralıklar!$M$2:$O$6,3,1)</f>
        <v>50</v>
      </c>
      <c r="W162" s="40">
        <f>IF(X162=0,0,(T162+V162)*R162*VLOOKUP($W$2,'Kriter Ağırlık'!$A$1:$B$8,2,1)*E162)</f>
        <v>10</v>
      </c>
      <c r="X162" s="40">
        <f>IFERROR(VLOOKUP(A162,Devamsızlıklar!A:M,13,0),1)</f>
        <v>1</v>
      </c>
      <c r="Y162" s="40">
        <f>(OEE!$K$6*VLOOKUP($Y$2,'Kriter Ağırlık'!$A$1:$B$8,2,1))*X162*E162</f>
        <v>35</v>
      </c>
      <c r="Z162" s="40">
        <f>(TELEF!$I$10*VLOOKUP($Z$2,'Kriter Ağırlık'!$A$1:$B$8,2,1))*X162*E162</f>
        <v>15</v>
      </c>
      <c r="AA162" s="40">
        <f t="shared" si="13"/>
        <v>79.666666666666671</v>
      </c>
      <c r="AB162" s="1">
        <v>5</v>
      </c>
      <c r="AC162" s="33">
        <f>VLOOKUP(AB162,'Kriter Ağırlık'!$A$12:$C$17,3,0)</f>
        <v>18.5</v>
      </c>
      <c r="AD162" s="106">
        <v>4</v>
      </c>
      <c r="AE162" s="33">
        <f>VLOOKUP(AD162,'Kriter Ağırlık'!$E$12:$G$24,3,0)</f>
        <v>1.077</v>
      </c>
      <c r="AF162" s="92">
        <f t="shared" si="14"/>
        <v>1587.3185000000001</v>
      </c>
      <c r="AG162" t="str">
        <f>VLOOKUP(A162,'Çalışan Listesi'!A:G,6,0)</f>
        <v>OPERATÖR</v>
      </c>
    </row>
    <row r="163" spans="1:33" x14ac:dyDescent="0.2">
      <c r="A163" s="2">
        <v>3939</v>
      </c>
      <c r="B163" s="3" t="s">
        <v>207</v>
      </c>
      <c r="C163" s="4">
        <v>42758</v>
      </c>
      <c r="D163" s="5">
        <f t="shared" si="16"/>
        <v>90</v>
      </c>
      <c r="E163" s="6">
        <f t="shared" si="12"/>
        <v>1</v>
      </c>
      <c r="F163" s="25" t="s">
        <v>421</v>
      </c>
      <c r="G163" s="3" t="s">
        <v>86</v>
      </c>
      <c r="H163" s="106" t="str">
        <f>VLOOKUP(A163,'Çalışan Listesi'!A:G,7,0)</f>
        <v>2.KADEME</v>
      </c>
      <c r="I163" s="65">
        <f>IFERROR(VLOOKUP(A163,'Kaizen Listesi'!A:H,8,0),0)</f>
        <v>0</v>
      </c>
      <c r="J163" s="65">
        <f>I163*VLOOKUP($I$2,'Kriter Ağırlık'!$A$1:$B$8,2,0)</f>
        <v>0</v>
      </c>
      <c r="K163" s="65">
        <f>IFERROR(VLOOKUP(A163,'Hata Kartı '!A:H,8,0),0)</f>
        <v>0</v>
      </c>
      <c r="L163" s="65">
        <f>K163*(VLOOKUP($K$2,'Kriter Ağırlık'!$A$1:$B$8,2,0))</f>
        <v>0</v>
      </c>
      <c r="M163" s="65">
        <f>IFERROR(VLOOKUP(F163,'5S'!$B$8:$E$19,4,0),0)</f>
        <v>1</v>
      </c>
      <c r="N163" s="65">
        <f>VLOOKUP(M163,'5S'!$G$8:$I$14,3,1)*VLOOKUP($M$2,'Kriter Ağırlık'!$A$1:$B$8,2,0)*E163*X163</f>
        <v>7.3777777777777782</v>
      </c>
      <c r="O163" s="1">
        <f>IFERROR(VLOOKUP(A163,Devamsızlıklar!A:K,10,0),0)</f>
        <v>0</v>
      </c>
      <c r="P163" s="40">
        <f>VLOOKUP(O163,Aralıklar!$A$2:$C$5,3,1)*VLOOKUP($O$2,'Kriter Ağırlık'!$A$1:$B$8,2,0)*E163*X163</f>
        <v>9.2222222222222232</v>
      </c>
      <c r="Q163" s="1">
        <f>IFERROR(VLOOKUP(A163,Devamsızlıklar!A:K,8,0),0)</f>
        <v>0</v>
      </c>
      <c r="R163" s="33">
        <f>VLOOKUP(Q163,Aralıklar!$E$2:$G$5,3,1)</f>
        <v>1</v>
      </c>
      <c r="S163" s="33">
        <f>IFERROR(VLOOKUP(A163,Devamsızlıklar!A:K,9,0),0)</f>
        <v>0</v>
      </c>
      <c r="T163" s="33">
        <f>VLOOKUP(S163,Aralıklar!$I$2:$K$6,3,1)</f>
        <v>50</v>
      </c>
      <c r="U163" s="33">
        <f>IFERROR(VLOOKUP(A163,Devamsızlıklar!A:K,11,0),0)</f>
        <v>0</v>
      </c>
      <c r="V163" s="33">
        <f>VLOOKUP(U163,Aralıklar!$M$2:$O$6,3,1)</f>
        <v>50</v>
      </c>
      <c r="W163" s="40">
        <f>IF(X163=0,0,(T163+V163)*R163*VLOOKUP($W$2,'Kriter Ağırlık'!$A$1:$B$8,2,1)*E163)</f>
        <v>10</v>
      </c>
      <c r="X163" s="40">
        <f>IFERROR(VLOOKUP(A163,Devamsızlıklar!A:M,13,0),1)</f>
        <v>0.92222222222222228</v>
      </c>
      <c r="Y163" s="40">
        <f>(OEE!$K$6*VLOOKUP($Y$2,'Kriter Ağırlık'!$A$1:$B$8,2,1))*X163*E163</f>
        <v>32.277777777777779</v>
      </c>
      <c r="Z163" s="40">
        <f>(TELEF!$I$10*VLOOKUP($Z$2,'Kriter Ağırlık'!$A$1:$B$8,2,1))*X163*E163</f>
        <v>13.833333333333334</v>
      </c>
      <c r="AA163" s="40">
        <f t="shared" si="13"/>
        <v>72.711111111111109</v>
      </c>
      <c r="AB163" s="1">
        <v>5</v>
      </c>
      <c r="AC163" s="33">
        <f>VLOOKUP(AB163,'Kriter Ağırlık'!$A$12:$C$17,3,0)</f>
        <v>18.5</v>
      </c>
      <c r="AD163" s="106">
        <v>4</v>
      </c>
      <c r="AE163" s="33">
        <f>VLOOKUP(AD163,'Kriter Ağırlık'!$E$12:$G$24,3,0)</f>
        <v>1.077</v>
      </c>
      <c r="AF163" s="92">
        <f t="shared" si="14"/>
        <v>1448.7325333333333</v>
      </c>
      <c r="AG163" t="str">
        <f>VLOOKUP(A163,'Çalışan Listesi'!A:G,6,0)</f>
        <v>OPERATÖR</v>
      </c>
    </row>
    <row r="164" spans="1:33" x14ac:dyDescent="0.2">
      <c r="A164" s="2">
        <v>3941</v>
      </c>
      <c r="B164" s="3" t="s">
        <v>208</v>
      </c>
      <c r="C164" s="4">
        <v>42758</v>
      </c>
      <c r="D164" s="5">
        <f t="shared" si="16"/>
        <v>90</v>
      </c>
      <c r="E164" s="6">
        <f t="shared" si="12"/>
        <v>1</v>
      </c>
      <c r="F164" s="25" t="s">
        <v>422</v>
      </c>
      <c r="G164" s="3" t="s">
        <v>54</v>
      </c>
      <c r="H164" s="106" t="str">
        <f>VLOOKUP(A164,'Çalışan Listesi'!A:G,7,0)</f>
        <v>3.KADEME</v>
      </c>
      <c r="I164" s="65">
        <f>IFERROR(VLOOKUP(A164,'Kaizen Listesi'!A:H,8,0),0)</f>
        <v>0</v>
      </c>
      <c r="J164" s="65">
        <f>I164*VLOOKUP($I$2,'Kriter Ağırlık'!$A$1:$B$8,2,0)</f>
        <v>0</v>
      </c>
      <c r="K164" s="65">
        <f>IFERROR(VLOOKUP(A164,'Hata Kartı '!A:H,8,0),0)</f>
        <v>0</v>
      </c>
      <c r="L164" s="65">
        <f>K164*(VLOOKUP($K$2,'Kriter Ağırlık'!$A$1:$B$8,2,0))</f>
        <v>0</v>
      </c>
      <c r="M164" s="65">
        <f>IFERROR(VLOOKUP(F164,'5S'!$B$8:$E$19,4,0),0)</f>
        <v>1</v>
      </c>
      <c r="N164" s="65">
        <f>VLOOKUP(M164,'5S'!$G$8:$I$14,3,1)*VLOOKUP($M$2,'Kriter Ağırlık'!$A$1:$B$8,2,0)*E164*X164</f>
        <v>8</v>
      </c>
      <c r="O164" s="1">
        <f>IFERROR(VLOOKUP(A164,Devamsızlıklar!A:K,10,0),0)</f>
        <v>0</v>
      </c>
      <c r="P164" s="40">
        <f>VLOOKUP(O164,Aralıklar!$A$2:$C$5,3,1)*VLOOKUP($O$2,'Kriter Ağırlık'!$A$1:$B$8,2,0)*E164*X164</f>
        <v>10</v>
      </c>
      <c r="Q164" s="1">
        <f>IFERROR(VLOOKUP(A164,Devamsızlıklar!A:K,8,0),0)</f>
        <v>0</v>
      </c>
      <c r="R164" s="33">
        <f>VLOOKUP(Q164,Aralıklar!$E$2:$G$5,3,1)</f>
        <v>1</v>
      </c>
      <c r="S164" s="33">
        <f>IFERROR(VLOOKUP(A164,Devamsızlıklar!A:K,9,0),0)</f>
        <v>0</v>
      </c>
      <c r="T164" s="33">
        <f>VLOOKUP(S164,Aralıklar!$I$2:$K$6,3,1)</f>
        <v>50</v>
      </c>
      <c r="U164" s="33">
        <f>IFERROR(VLOOKUP(A164,Devamsızlıklar!A:K,11,0),0)</f>
        <v>0</v>
      </c>
      <c r="V164" s="33">
        <f>VLOOKUP(U164,Aralıklar!$M$2:$O$6,3,1)</f>
        <v>50</v>
      </c>
      <c r="W164" s="40">
        <f>IF(X164=0,0,(T164+V164)*R164*VLOOKUP($W$2,'Kriter Ağırlık'!$A$1:$B$8,2,1)*E164)</f>
        <v>10</v>
      </c>
      <c r="X164" s="40">
        <f>IFERROR(VLOOKUP(A164,Devamsızlıklar!A:M,13,0),1)</f>
        <v>1</v>
      </c>
      <c r="Y164" s="40">
        <f>(OEE!$K$6*VLOOKUP($Y$2,'Kriter Ağırlık'!$A$1:$B$8,2,1))*X164*E164</f>
        <v>35</v>
      </c>
      <c r="Z164" s="40">
        <f>(TELEF!$I$10*VLOOKUP($Z$2,'Kriter Ağırlık'!$A$1:$B$8,2,1))*X164*E164</f>
        <v>15</v>
      </c>
      <c r="AA164" s="40">
        <f t="shared" si="13"/>
        <v>78</v>
      </c>
      <c r="AB164" s="1">
        <v>5</v>
      </c>
      <c r="AC164" s="33">
        <f>VLOOKUP(AB164,'Kriter Ağırlık'!$A$12:$C$17,3,0)</f>
        <v>18.5</v>
      </c>
      <c r="AD164" s="1">
        <v>3</v>
      </c>
      <c r="AE164" s="33">
        <f>VLOOKUP(AD164,'Kriter Ağırlık'!$E$12:$G$24,3,0)</f>
        <v>1.1499999999999999</v>
      </c>
      <c r="AF164" s="92">
        <f t="shared" si="14"/>
        <v>1659.4499999999998</v>
      </c>
      <c r="AG164" t="str">
        <f>VLOOKUP(A164,'Çalışan Listesi'!A:G,6,0)</f>
        <v>OPERATÖR</v>
      </c>
    </row>
    <row r="165" spans="1:33" x14ac:dyDescent="0.2">
      <c r="A165" s="2">
        <v>3958</v>
      </c>
      <c r="B165" s="3" t="s">
        <v>209</v>
      </c>
      <c r="C165" s="4">
        <v>42779</v>
      </c>
      <c r="D165" s="5">
        <f t="shared" si="16"/>
        <v>90</v>
      </c>
      <c r="E165" s="6">
        <f t="shared" si="12"/>
        <v>1</v>
      </c>
      <c r="F165" s="25" t="s">
        <v>421</v>
      </c>
      <c r="G165" s="3" t="s">
        <v>86</v>
      </c>
      <c r="H165" s="106" t="str">
        <f>VLOOKUP(A165,'Çalışan Listesi'!A:G,7,0)</f>
        <v>3.KADEME</v>
      </c>
      <c r="I165" s="65">
        <f>IFERROR(VLOOKUP(A165,'Kaizen Listesi'!A:H,8,0),0)</f>
        <v>0</v>
      </c>
      <c r="J165" s="65">
        <f>I165*VLOOKUP($I$2,'Kriter Ağırlık'!$A$1:$B$8,2,0)</f>
        <v>0</v>
      </c>
      <c r="K165" s="65">
        <f>IFERROR(VLOOKUP(A165,'Hata Kartı '!A:H,8,0),0)</f>
        <v>33.333333333333336</v>
      </c>
      <c r="L165" s="65">
        <f>K165*(VLOOKUP($K$2,'Kriter Ağırlık'!$A$1:$B$8,2,0))</f>
        <v>3.3333333333333339</v>
      </c>
      <c r="M165" s="65">
        <f>IFERROR(VLOOKUP(F165,'5S'!$B$8:$E$19,4,0),0)</f>
        <v>1</v>
      </c>
      <c r="N165" s="65">
        <f>VLOOKUP(M165,'5S'!$G$8:$I$14,3,1)*VLOOKUP($M$2,'Kriter Ağırlık'!$A$1:$B$8,2,0)*E165*X165</f>
        <v>8</v>
      </c>
      <c r="O165" s="1">
        <f>IFERROR(VLOOKUP(A165,Devamsızlıklar!A:K,10,0),0)</f>
        <v>0</v>
      </c>
      <c r="P165" s="40">
        <f>VLOOKUP(O165,Aralıklar!$A$2:$C$5,3,1)*VLOOKUP($O$2,'Kriter Ağırlık'!$A$1:$B$8,2,0)*E165*X165</f>
        <v>10</v>
      </c>
      <c r="Q165" s="1">
        <f>IFERROR(VLOOKUP(A165,Devamsızlıklar!A:K,8,0),0)</f>
        <v>0</v>
      </c>
      <c r="R165" s="33">
        <f>VLOOKUP(Q165,Aralıklar!$E$2:$G$5,3,1)</f>
        <v>1</v>
      </c>
      <c r="S165" s="33">
        <f>IFERROR(VLOOKUP(A165,Devamsızlıklar!A:K,9,0),0)</f>
        <v>0</v>
      </c>
      <c r="T165" s="33">
        <f>VLOOKUP(S165,Aralıklar!$I$2:$K$6,3,1)</f>
        <v>50</v>
      </c>
      <c r="U165" s="33">
        <f>IFERROR(VLOOKUP(A165,Devamsızlıklar!A:K,11,0),0)</f>
        <v>0</v>
      </c>
      <c r="V165" s="33">
        <f>VLOOKUP(U165,Aralıklar!$M$2:$O$6,3,1)</f>
        <v>50</v>
      </c>
      <c r="W165" s="40">
        <f>IF(X165=0,0,(T165+V165)*R165*VLOOKUP($W$2,'Kriter Ağırlık'!$A$1:$B$8,2,1)*E165)</f>
        <v>10</v>
      </c>
      <c r="X165" s="40">
        <f>IFERROR(VLOOKUP(A165,Devamsızlıklar!A:M,13,0),1)</f>
        <v>1</v>
      </c>
      <c r="Y165" s="40">
        <f>(OEE!$K$6*VLOOKUP($Y$2,'Kriter Ağırlık'!$A$1:$B$8,2,1))*X165*E165</f>
        <v>35</v>
      </c>
      <c r="Z165" s="40">
        <f>(TELEF!$I$10*VLOOKUP($Z$2,'Kriter Ağırlık'!$A$1:$B$8,2,1))*X165*E165</f>
        <v>15</v>
      </c>
      <c r="AA165" s="40">
        <f t="shared" si="13"/>
        <v>81.333333333333343</v>
      </c>
      <c r="AB165" s="1">
        <v>5</v>
      </c>
      <c r="AC165" s="33">
        <f>VLOOKUP(AB165,'Kriter Ağırlık'!$A$12:$C$17,3,0)</f>
        <v>18.5</v>
      </c>
      <c r="AD165" s="1">
        <v>3</v>
      </c>
      <c r="AE165" s="33">
        <f>VLOOKUP(AD165,'Kriter Ağırlık'!$E$12:$G$24,3,0)</f>
        <v>1.1499999999999999</v>
      </c>
      <c r="AF165" s="92">
        <f t="shared" si="14"/>
        <v>1730.3666666666666</v>
      </c>
      <c r="AG165" t="str">
        <f>VLOOKUP(A165,'Çalışan Listesi'!A:G,6,0)</f>
        <v>OPERATÖR</v>
      </c>
    </row>
    <row r="166" spans="1:33" x14ac:dyDescent="0.2">
      <c r="A166" s="2">
        <v>3983</v>
      </c>
      <c r="B166" s="3" t="s">
        <v>210</v>
      </c>
      <c r="C166" s="4">
        <v>42800</v>
      </c>
      <c r="D166" s="5">
        <f t="shared" si="16"/>
        <v>90</v>
      </c>
      <c r="E166" s="6">
        <f t="shared" si="12"/>
        <v>1</v>
      </c>
      <c r="F166" s="25" t="s">
        <v>422</v>
      </c>
      <c r="G166" s="3" t="s">
        <v>54</v>
      </c>
      <c r="H166" s="106" t="str">
        <f>VLOOKUP(A166,'Çalışan Listesi'!A:G,7,0)</f>
        <v>3.KADEME</v>
      </c>
      <c r="I166" s="65">
        <f>IFERROR(VLOOKUP(A166,'Kaizen Listesi'!A:H,8,0),0)</f>
        <v>0</v>
      </c>
      <c r="J166" s="65">
        <f>I166*VLOOKUP($I$2,'Kriter Ağırlık'!$A$1:$B$8,2,0)</f>
        <v>0</v>
      </c>
      <c r="K166" s="65">
        <f>IFERROR(VLOOKUP(A166,'Hata Kartı '!A:H,8,0),0)</f>
        <v>0</v>
      </c>
      <c r="L166" s="65">
        <f>K166*(VLOOKUP($K$2,'Kriter Ağırlık'!$A$1:$B$8,2,0))</f>
        <v>0</v>
      </c>
      <c r="M166" s="65">
        <f>IFERROR(VLOOKUP(F166,'5S'!$B$8:$E$19,4,0),0)</f>
        <v>1</v>
      </c>
      <c r="N166" s="65">
        <f>VLOOKUP(M166,'5S'!$G$8:$I$14,3,1)*VLOOKUP($M$2,'Kriter Ağırlık'!$A$1:$B$8,2,0)*E166*X166</f>
        <v>8</v>
      </c>
      <c r="O166" s="1">
        <f>IFERROR(VLOOKUP(A166,Devamsızlıklar!A:K,10,0),0)</f>
        <v>0</v>
      </c>
      <c r="P166" s="40">
        <f>VLOOKUP(O166,Aralıklar!$A$2:$C$5,3,1)*VLOOKUP($O$2,'Kriter Ağırlık'!$A$1:$B$8,2,0)*E166*X166</f>
        <v>10</v>
      </c>
      <c r="Q166" s="1">
        <f>IFERROR(VLOOKUP(A166,Devamsızlıklar!A:K,8,0),0)</f>
        <v>0</v>
      </c>
      <c r="R166" s="33">
        <f>VLOOKUP(Q166,Aralıklar!$E$2:$G$5,3,1)</f>
        <v>1</v>
      </c>
      <c r="S166" s="33">
        <f>IFERROR(VLOOKUP(A166,Devamsızlıklar!A:K,9,0),0)</f>
        <v>0</v>
      </c>
      <c r="T166" s="33">
        <f>VLOOKUP(S166,Aralıklar!$I$2:$K$6,3,1)</f>
        <v>50</v>
      </c>
      <c r="U166" s="33">
        <f>IFERROR(VLOOKUP(A166,Devamsızlıklar!A:K,11,0),0)</f>
        <v>0</v>
      </c>
      <c r="V166" s="33">
        <f>VLOOKUP(U166,Aralıklar!$M$2:$O$6,3,1)</f>
        <v>50</v>
      </c>
      <c r="W166" s="40">
        <f>IF(X166=0,0,(T166+V166)*R166*VLOOKUP($W$2,'Kriter Ağırlık'!$A$1:$B$8,2,1)*E166)</f>
        <v>10</v>
      </c>
      <c r="X166" s="40">
        <f>IFERROR(VLOOKUP(A166,Devamsızlıklar!A:M,13,0),1)</f>
        <v>1</v>
      </c>
      <c r="Y166" s="40">
        <f>(OEE!$K$6*VLOOKUP($Y$2,'Kriter Ağırlık'!$A$1:$B$8,2,1))*X166*E166</f>
        <v>35</v>
      </c>
      <c r="Z166" s="40">
        <f>(TELEF!$I$10*VLOOKUP($Z$2,'Kriter Ağırlık'!$A$1:$B$8,2,1))*X166*E166</f>
        <v>15</v>
      </c>
      <c r="AA166" s="40">
        <f t="shared" si="13"/>
        <v>78</v>
      </c>
      <c r="AB166" s="1">
        <v>5</v>
      </c>
      <c r="AC166" s="33">
        <f>VLOOKUP(AB166,'Kriter Ağırlık'!$A$12:$C$17,3,0)</f>
        <v>18.5</v>
      </c>
      <c r="AD166" s="1">
        <v>3</v>
      </c>
      <c r="AE166" s="33">
        <f>VLOOKUP(AD166,'Kriter Ağırlık'!$E$12:$G$24,3,0)</f>
        <v>1.1499999999999999</v>
      </c>
      <c r="AF166" s="92">
        <f t="shared" si="14"/>
        <v>1659.4499999999998</v>
      </c>
      <c r="AG166" t="str">
        <f>VLOOKUP(A166,'Çalışan Listesi'!A:G,6,0)</f>
        <v>OPERATÖR</v>
      </c>
    </row>
    <row r="167" spans="1:33" x14ac:dyDescent="0.2">
      <c r="A167" s="2">
        <v>3995</v>
      </c>
      <c r="B167" s="3" t="s">
        <v>211</v>
      </c>
      <c r="C167" s="4">
        <v>42836</v>
      </c>
      <c r="D167" s="5">
        <f t="shared" si="16"/>
        <v>90</v>
      </c>
      <c r="E167" s="6">
        <f t="shared" si="12"/>
        <v>1</v>
      </c>
      <c r="F167" s="25" t="s">
        <v>421</v>
      </c>
      <c r="G167" s="3" t="s">
        <v>86</v>
      </c>
      <c r="H167" s="106" t="str">
        <f>VLOOKUP(A167,'Çalışan Listesi'!A:G,7,0)</f>
        <v>3.KADEME</v>
      </c>
      <c r="I167" s="65">
        <f>IFERROR(VLOOKUP(A167,'Kaizen Listesi'!A:H,8,0),0)</f>
        <v>0</v>
      </c>
      <c r="J167" s="65">
        <f>I167*VLOOKUP($I$2,'Kriter Ağırlık'!$A$1:$B$8,2,0)</f>
        <v>0</v>
      </c>
      <c r="K167" s="65">
        <f>IFERROR(VLOOKUP(A167,'Hata Kartı '!A:H,8,0),0)</f>
        <v>50</v>
      </c>
      <c r="L167" s="65">
        <f>K167*(VLOOKUP($K$2,'Kriter Ağırlık'!$A$1:$B$8,2,0))</f>
        <v>5</v>
      </c>
      <c r="M167" s="65">
        <f>IFERROR(VLOOKUP(F167,'5S'!$B$8:$E$19,4,0),0)</f>
        <v>1</v>
      </c>
      <c r="N167" s="65">
        <f>VLOOKUP(M167,'5S'!$G$8:$I$14,3,1)*VLOOKUP($M$2,'Kriter Ağırlık'!$A$1:$B$8,2,0)*E167*X167</f>
        <v>8</v>
      </c>
      <c r="O167" s="1">
        <f>IFERROR(VLOOKUP(A167,Devamsızlıklar!A:K,10,0),0)</f>
        <v>0</v>
      </c>
      <c r="P167" s="40">
        <f>VLOOKUP(O167,Aralıklar!$A$2:$C$5,3,1)*VLOOKUP($O$2,'Kriter Ağırlık'!$A$1:$B$8,2,0)*E167*X167</f>
        <v>10</v>
      </c>
      <c r="Q167" s="1">
        <f>IFERROR(VLOOKUP(A167,Devamsızlıklar!A:K,8,0),0)</f>
        <v>0</v>
      </c>
      <c r="R167" s="33">
        <f>VLOOKUP(Q167,Aralıklar!$E$2:$G$5,3,1)</f>
        <v>1</v>
      </c>
      <c r="S167" s="33">
        <f>IFERROR(VLOOKUP(A167,Devamsızlıklar!A:K,9,0),0)</f>
        <v>0</v>
      </c>
      <c r="T167" s="33">
        <f>VLOOKUP(S167,Aralıklar!$I$2:$K$6,3,1)</f>
        <v>50</v>
      </c>
      <c r="U167" s="33">
        <f>IFERROR(VLOOKUP(A167,Devamsızlıklar!A:K,11,0),0)</f>
        <v>0</v>
      </c>
      <c r="V167" s="33">
        <f>VLOOKUP(U167,Aralıklar!$M$2:$O$6,3,1)</f>
        <v>50</v>
      </c>
      <c r="W167" s="40">
        <f>IF(X167=0,0,(T167+V167)*R167*VLOOKUP($W$2,'Kriter Ağırlık'!$A$1:$B$8,2,1)*E167)</f>
        <v>10</v>
      </c>
      <c r="X167" s="40">
        <f>IFERROR(VLOOKUP(A167,Devamsızlıklar!A:M,13,0),1)</f>
        <v>1</v>
      </c>
      <c r="Y167" s="40">
        <f>(OEE!$K$6*VLOOKUP($Y$2,'Kriter Ağırlık'!$A$1:$B$8,2,1))*X167*E167</f>
        <v>35</v>
      </c>
      <c r="Z167" s="40">
        <f>(TELEF!$I$10*VLOOKUP($Z$2,'Kriter Ağırlık'!$A$1:$B$8,2,1))*X167*E167</f>
        <v>15</v>
      </c>
      <c r="AA167" s="40">
        <f t="shared" si="13"/>
        <v>83</v>
      </c>
      <c r="AB167" s="1">
        <v>5</v>
      </c>
      <c r="AC167" s="33">
        <f>VLOOKUP(AB167,'Kriter Ağırlık'!$A$12:$C$17,3,0)</f>
        <v>18.5</v>
      </c>
      <c r="AD167" s="1">
        <v>3</v>
      </c>
      <c r="AE167" s="33">
        <f>VLOOKUP(AD167,'Kriter Ağırlık'!$E$12:$G$24,3,0)</f>
        <v>1.1499999999999999</v>
      </c>
      <c r="AF167" s="92">
        <f t="shared" si="14"/>
        <v>1765.8249999999998</v>
      </c>
      <c r="AG167" t="str">
        <f>VLOOKUP(A167,'Çalışan Listesi'!A:G,6,0)</f>
        <v>OPERATÖR</v>
      </c>
    </row>
    <row r="168" spans="1:33" x14ac:dyDescent="0.2">
      <c r="A168" s="2">
        <v>4000</v>
      </c>
      <c r="B168" s="3" t="s">
        <v>212</v>
      </c>
      <c r="C168" s="4">
        <v>42842</v>
      </c>
      <c r="D168" s="5">
        <f t="shared" si="16"/>
        <v>90</v>
      </c>
      <c r="E168" s="6">
        <f t="shared" si="12"/>
        <v>1</v>
      </c>
      <c r="F168" s="25" t="s">
        <v>421</v>
      </c>
      <c r="G168" s="3" t="s">
        <v>10</v>
      </c>
      <c r="H168" s="106" t="str">
        <f>VLOOKUP(A168,'Çalışan Listesi'!A:G,7,0)</f>
        <v>3.KADEME</v>
      </c>
      <c r="I168" s="65">
        <f>IFERROR(VLOOKUP(A168,'Kaizen Listesi'!A:H,8,0),0)</f>
        <v>0</v>
      </c>
      <c r="J168" s="65">
        <f>I168*VLOOKUP($I$2,'Kriter Ağırlık'!$A$1:$B$8,2,0)</f>
        <v>0</v>
      </c>
      <c r="K168" s="65">
        <f>IFERROR(VLOOKUP(A168,'Hata Kartı '!A:H,8,0),0)</f>
        <v>0</v>
      </c>
      <c r="L168" s="65">
        <f>K168*(VLOOKUP($K$2,'Kriter Ağırlık'!$A$1:$B$8,2,0))</f>
        <v>0</v>
      </c>
      <c r="M168" s="65">
        <f>IFERROR(VLOOKUP(F168,'5S'!$B$8:$E$19,4,0),0)</f>
        <v>1</v>
      </c>
      <c r="N168" s="65">
        <f>VLOOKUP(M168,'5S'!$G$8:$I$14,3,1)*VLOOKUP($M$2,'Kriter Ağırlık'!$A$1:$B$8,2,0)*E168*X168</f>
        <v>8</v>
      </c>
      <c r="O168" s="76">
        <f>IFERROR(VLOOKUP(A168,Devamsızlıklar!A:K,10,0),0)</f>
        <v>0</v>
      </c>
      <c r="P168" s="40">
        <f>VLOOKUP(O168,Aralıklar!$A$2:$C$5,3,1)*VLOOKUP($O$2,'Kriter Ağırlık'!$A$1:$B$8,2,0)*E168*X168</f>
        <v>10</v>
      </c>
      <c r="Q168" s="76">
        <f>IFERROR(VLOOKUP(A168,Devamsızlıklar!A:K,8,0),0)</f>
        <v>0</v>
      </c>
      <c r="R168" s="76">
        <f>VLOOKUP(Q168,Aralıklar!$E$2:$G$5,3,1)</f>
        <v>1</v>
      </c>
      <c r="S168" s="76">
        <f>IFERROR(VLOOKUP(A168,Devamsızlıklar!A:K,9,0),0)</f>
        <v>0</v>
      </c>
      <c r="T168" s="76">
        <f>VLOOKUP(S168,Aralıklar!$I$2:$K$6,3,1)</f>
        <v>50</v>
      </c>
      <c r="U168" s="76">
        <f>IFERROR(VLOOKUP(A168,Devamsızlıklar!A:K,11,0),0)</f>
        <v>0</v>
      </c>
      <c r="V168" s="76">
        <f>VLOOKUP(U168,Aralıklar!$M$2:$O$6,3,1)</f>
        <v>50</v>
      </c>
      <c r="W168" s="40">
        <f>IF(X168=0,0,(T168+V168)*R168*VLOOKUP($W$2,'Kriter Ağırlık'!$A$1:$B$8,2,1)*E168)</f>
        <v>10</v>
      </c>
      <c r="X168" s="40">
        <f>IFERROR(VLOOKUP(A168,Devamsızlıklar!A:M,13,0),1)</f>
        <v>1</v>
      </c>
      <c r="Y168" s="40">
        <f>(OEE!$K$6*VLOOKUP($Y$2,'Kriter Ağırlık'!$A$1:$B$8,2,1))*X168*E168</f>
        <v>35</v>
      </c>
      <c r="Z168" s="40">
        <f>(TELEF!$I$10*VLOOKUP($Z$2,'Kriter Ağırlık'!$A$1:$B$8,2,1))*X168*E168</f>
        <v>15</v>
      </c>
      <c r="AA168" s="40">
        <f t="shared" si="13"/>
        <v>78</v>
      </c>
      <c r="AB168" s="76">
        <v>5</v>
      </c>
      <c r="AC168" s="76">
        <f>VLOOKUP(AB168,'Kriter Ağırlık'!$A$12:$C$17,3,0)</f>
        <v>18.5</v>
      </c>
      <c r="AD168" s="106">
        <v>3</v>
      </c>
      <c r="AE168" s="76">
        <f>VLOOKUP(AD168,'Kriter Ağırlık'!$E$12:$G$24,3,0)</f>
        <v>1.1499999999999999</v>
      </c>
      <c r="AF168" s="92">
        <f t="shared" si="14"/>
        <v>1659.4499999999998</v>
      </c>
      <c r="AG168" t="str">
        <f>VLOOKUP(A168,'Çalışan Listesi'!A:G,6,0)</f>
        <v>OPERATÖR</v>
      </c>
    </row>
    <row r="169" spans="1:33" x14ac:dyDescent="0.2">
      <c r="A169" s="2">
        <v>4001</v>
      </c>
      <c r="B169" s="3" t="s">
        <v>213</v>
      </c>
      <c r="C169" s="4">
        <v>42842</v>
      </c>
      <c r="D169" s="5">
        <f t="shared" si="16"/>
        <v>90</v>
      </c>
      <c r="E169" s="6">
        <f t="shared" si="12"/>
        <v>1</v>
      </c>
      <c r="F169" s="25" t="s">
        <v>421</v>
      </c>
      <c r="G169" s="3" t="s">
        <v>86</v>
      </c>
      <c r="H169" s="106" t="str">
        <f>VLOOKUP(A169,'Çalışan Listesi'!A:G,7,0)</f>
        <v>2.KADEME</v>
      </c>
      <c r="I169" s="65">
        <f>IFERROR(VLOOKUP(A169,'Kaizen Listesi'!A:H,8,0),0)</f>
        <v>0</v>
      </c>
      <c r="J169" s="65">
        <f>I169*VLOOKUP($I$2,'Kriter Ağırlık'!$A$1:$B$8,2,0)</f>
        <v>0</v>
      </c>
      <c r="K169" s="65">
        <f>IFERROR(VLOOKUP(A169,'Hata Kartı '!A:H,8,0),0)</f>
        <v>0</v>
      </c>
      <c r="L169" s="65">
        <f>K169*(VLOOKUP($K$2,'Kriter Ağırlık'!$A$1:$B$8,2,0))</f>
        <v>0</v>
      </c>
      <c r="M169" s="65">
        <f>IFERROR(VLOOKUP(F169,'5S'!$B$8:$E$19,4,0),0)</f>
        <v>1</v>
      </c>
      <c r="N169" s="65">
        <f>VLOOKUP(M169,'5S'!$G$8:$I$14,3,1)*VLOOKUP($M$2,'Kriter Ağırlık'!$A$1:$B$8,2,0)*E169*X169</f>
        <v>7.3777777777777782</v>
      </c>
      <c r="O169" s="1">
        <f>IFERROR(VLOOKUP(A169,Devamsızlıklar!A:K,10,0),0)</f>
        <v>0</v>
      </c>
      <c r="P169" s="40">
        <f>VLOOKUP(O169,Aralıklar!$A$2:$C$5,3,1)*VLOOKUP($O$2,'Kriter Ağırlık'!$A$1:$B$8,2,0)*E169*X169</f>
        <v>9.2222222222222232</v>
      </c>
      <c r="Q169" s="1">
        <f>IFERROR(VLOOKUP(A169,Devamsızlıklar!A:K,8,0),0)</f>
        <v>0</v>
      </c>
      <c r="R169" s="33">
        <f>VLOOKUP(Q169,Aralıklar!$E$2:$G$5,3,1)</f>
        <v>1</v>
      </c>
      <c r="S169" s="33">
        <f>IFERROR(VLOOKUP(A169,Devamsızlıklar!A:K,9,0),0)</f>
        <v>0</v>
      </c>
      <c r="T169" s="33">
        <f>VLOOKUP(S169,Aralıklar!$I$2:$K$6,3,1)</f>
        <v>50</v>
      </c>
      <c r="U169" s="33">
        <f>IFERROR(VLOOKUP(A169,Devamsızlıklar!A:K,11,0),0)</f>
        <v>0</v>
      </c>
      <c r="V169" s="33">
        <f>VLOOKUP(U169,Aralıklar!$M$2:$O$6,3,1)</f>
        <v>50</v>
      </c>
      <c r="W169" s="40">
        <f>IF(X169=0,0,(T169+V169)*R169*VLOOKUP($W$2,'Kriter Ağırlık'!$A$1:$B$8,2,1)*E169)</f>
        <v>10</v>
      </c>
      <c r="X169" s="40">
        <f>IFERROR(VLOOKUP(A169,Devamsızlıklar!A:M,13,0),1)</f>
        <v>0.92222222222222228</v>
      </c>
      <c r="Y169" s="40">
        <f>(OEE!$K$6*VLOOKUP($Y$2,'Kriter Ağırlık'!$A$1:$B$8,2,1))*X169*E169</f>
        <v>32.277777777777779</v>
      </c>
      <c r="Z169" s="40">
        <f>(TELEF!$I$10*VLOOKUP($Z$2,'Kriter Ağırlık'!$A$1:$B$8,2,1))*X169*E169</f>
        <v>13.833333333333334</v>
      </c>
      <c r="AA169" s="40">
        <f t="shared" si="13"/>
        <v>72.711111111111109</v>
      </c>
      <c r="AB169" s="1">
        <v>5</v>
      </c>
      <c r="AC169" s="33">
        <f>VLOOKUP(AB169,'Kriter Ağırlık'!$A$12:$C$17,3,0)</f>
        <v>18.5</v>
      </c>
      <c r="AD169" s="106">
        <v>4</v>
      </c>
      <c r="AE169" s="33">
        <f>VLOOKUP(AD169,'Kriter Ağırlık'!$E$12:$G$24,3,0)</f>
        <v>1.077</v>
      </c>
      <c r="AF169" s="92">
        <f t="shared" si="14"/>
        <v>1448.7325333333333</v>
      </c>
      <c r="AG169" t="str">
        <f>VLOOKUP(A169,'Çalışan Listesi'!A:G,6,0)</f>
        <v>OPERATÖR</v>
      </c>
    </row>
    <row r="170" spans="1:33" x14ac:dyDescent="0.2">
      <c r="A170" s="2">
        <v>4002</v>
      </c>
      <c r="B170" s="3" t="s">
        <v>214</v>
      </c>
      <c r="C170" s="4">
        <v>42842</v>
      </c>
      <c r="D170" s="5">
        <f t="shared" si="16"/>
        <v>90</v>
      </c>
      <c r="E170" s="6">
        <f t="shared" si="12"/>
        <v>1</v>
      </c>
      <c r="F170" s="25" t="s">
        <v>421</v>
      </c>
      <c r="G170" s="3" t="s">
        <v>10</v>
      </c>
      <c r="H170" s="106" t="str">
        <f>VLOOKUP(A170,'Çalışan Listesi'!A:G,7,0)</f>
        <v>2.KADEME</v>
      </c>
      <c r="I170" s="65">
        <f>IFERROR(VLOOKUP(A170,'Kaizen Listesi'!A:H,8,0),0)</f>
        <v>0</v>
      </c>
      <c r="J170" s="65">
        <f>I170*VLOOKUP($I$2,'Kriter Ağırlık'!$A$1:$B$8,2,0)</f>
        <v>0</v>
      </c>
      <c r="K170" s="65">
        <f>IFERROR(VLOOKUP(A170,'Hata Kartı '!A:H,8,0),0)</f>
        <v>0</v>
      </c>
      <c r="L170" s="65">
        <f>K170*(VLOOKUP($K$2,'Kriter Ağırlık'!$A$1:$B$8,2,0))</f>
        <v>0</v>
      </c>
      <c r="M170" s="65">
        <f>IFERROR(VLOOKUP(F170,'5S'!$B$8:$E$19,4,0),0)</f>
        <v>1</v>
      </c>
      <c r="N170" s="65">
        <f>VLOOKUP(M170,'5S'!$G$8:$I$14,3,1)*VLOOKUP($M$2,'Kriter Ağırlık'!$A$1:$B$8,2,0)*E170*X170</f>
        <v>8</v>
      </c>
      <c r="O170" s="1">
        <f>IFERROR(VLOOKUP(A170,Devamsızlıklar!A:K,10,0),0)</f>
        <v>0</v>
      </c>
      <c r="P170" s="40">
        <f>VLOOKUP(O170,Aralıklar!$A$2:$C$5,3,1)*VLOOKUP($O$2,'Kriter Ağırlık'!$A$1:$B$8,2,0)*E170*X170</f>
        <v>10</v>
      </c>
      <c r="Q170" s="1">
        <f>IFERROR(VLOOKUP(A170,Devamsızlıklar!A:K,8,0),0)</f>
        <v>0</v>
      </c>
      <c r="R170" s="33">
        <f>VLOOKUP(Q170,Aralıklar!$E$2:$G$5,3,1)</f>
        <v>1</v>
      </c>
      <c r="S170" s="33">
        <f>IFERROR(VLOOKUP(A170,Devamsızlıklar!A:K,9,0),0)</f>
        <v>0</v>
      </c>
      <c r="T170" s="33">
        <f>VLOOKUP(S170,Aralıklar!$I$2:$K$6,3,1)</f>
        <v>50</v>
      </c>
      <c r="U170" s="33">
        <f>IFERROR(VLOOKUP(A170,Devamsızlıklar!A:K,11,0),0)</f>
        <v>0</v>
      </c>
      <c r="V170" s="33">
        <f>VLOOKUP(U170,Aralıklar!$M$2:$O$6,3,1)</f>
        <v>50</v>
      </c>
      <c r="W170" s="40">
        <f>IF(X170=0,0,(T170+V170)*R170*VLOOKUP($W$2,'Kriter Ağırlık'!$A$1:$B$8,2,1)*E170)</f>
        <v>10</v>
      </c>
      <c r="X170" s="40">
        <f>IFERROR(VLOOKUP(A170,Devamsızlıklar!A:M,13,0),1)</f>
        <v>1</v>
      </c>
      <c r="Y170" s="40">
        <f>(OEE!$K$6*VLOOKUP($Y$2,'Kriter Ağırlık'!$A$1:$B$8,2,1))*X170*E170</f>
        <v>35</v>
      </c>
      <c r="Z170" s="40">
        <f>(TELEF!$I$10*VLOOKUP($Z$2,'Kriter Ağırlık'!$A$1:$B$8,2,1))*X170*E170</f>
        <v>15</v>
      </c>
      <c r="AA170" s="40">
        <f t="shared" si="13"/>
        <v>78</v>
      </c>
      <c r="AB170" s="1">
        <v>5</v>
      </c>
      <c r="AC170" s="33">
        <f>VLOOKUP(AB170,'Kriter Ağırlık'!$A$12:$C$17,3,0)</f>
        <v>18.5</v>
      </c>
      <c r="AD170" s="106">
        <v>4</v>
      </c>
      <c r="AE170" s="33">
        <f>VLOOKUP(AD170,'Kriter Ağırlık'!$E$12:$G$24,3,0)</f>
        <v>1.077</v>
      </c>
      <c r="AF170" s="92">
        <f t="shared" si="14"/>
        <v>1554.1109999999999</v>
      </c>
      <c r="AG170" t="str">
        <f>VLOOKUP(A170,'Çalışan Listesi'!A:G,6,0)</f>
        <v>OPERATÖR</v>
      </c>
    </row>
    <row r="171" spans="1:33" x14ac:dyDescent="0.2">
      <c r="A171" s="2">
        <v>4007</v>
      </c>
      <c r="B171" s="3" t="s">
        <v>215</v>
      </c>
      <c r="C171" s="4">
        <v>42850</v>
      </c>
      <c r="D171" s="5">
        <f t="shared" si="16"/>
        <v>90</v>
      </c>
      <c r="E171" s="6">
        <f t="shared" si="12"/>
        <v>1</v>
      </c>
      <c r="F171" s="25" t="s">
        <v>429</v>
      </c>
      <c r="G171" s="3" t="s">
        <v>46</v>
      </c>
      <c r="H171" s="106" t="str">
        <f>VLOOKUP(A171,'Çalışan Listesi'!A:G,7,0)</f>
        <v>3.KADEME</v>
      </c>
      <c r="I171" s="65">
        <f>IFERROR(VLOOKUP(A171,'Kaizen Listesi'!A:H,8,0),0)</f>
        <v>33.333333333333336</v>
      </c>
      <c r="J171" s="65">
        <f>I171*VLOOKUP($I$2,'Kriter Ağırlık'!$A$1:$B$8,2,0)</f>
        <v>4</v>
      </c>
      <c r="K171" s="65">
        <f>IFERROR(VLOOKUP(A171,'Hata Kartı '!A:H,8,0),0)</f>
        <v>100</v>
      </c>
      <c r="L171" s="65">
        <f>K171*(VLOOKUP($K$2,'Kriter Ağırlık'!$A$1:$B$8,2,0))</f>
        <v>10</v>
      </c>
      <c r="M171" s="65">
        <f>IFERROR(VLOOKUP(F171,'5S'!$B$8:$E$19,4,0),0)</f>
        <v>1</v>
      </c>
      <c r="N171" s="65">
        <f>VLOOKUP(M171,'5S'!$G$8:$I$14,3,1)*VLOOKUP($M$2,'Kriter Ağırlık'!$A$1:$B$8,2,0)*E171*X171</f>
        <v>8</v>
      </c>
      <c r="O171" s="1">
        <f>IFERROR(VLOOKUP(A171,Devamsızlıklar!A:K,10,0),0)</f>
        <v>0</v>
      </c>
      <c r="P171" s="40">
        <f>VLOOKUP(O171,Aralıklar!$A$2:$C$5,3,1)*VLOOKUP($O$2,'Kriter Ağırlık'!$A$1:$B$8,2,0)*E171*X171</f>
        <v>10</v>
      </c>
      <c r="Q171" s="1">
        <f>IFERROR(VLOOKUP(A171,Devamsızlıklar!A:K,8,0),0)</f>
        <v>0</v>
      </c>
      <c r="R171" s="33">
        <f>VLOOKUP(Q171,Aralıklar!$E$2:$G$5,3,1)</f>
        <v>1</v>
      </c>
      <c r="S171" s="33">
        <f>IFERROR(VLOOKUP(A171,Devamsızlıklar!A:K,9,0),0)</f>
        <v>0</v>
      </c>
      <c r="T171" s="33">
        <f>VLOOKUP(S171,Aralıklar!$I$2:$K$6,3,1)</f>
        <v>50</v>
      </c>
      <c r="U171" s="33">
        <f>IFERROR(VLOOKUP(A171,Devamsızlıklar!A:K,11,0),0)</f>
        <v>0</v>
      </c>
      <c r="V171" s="33">
        <f>VLOOKUP(U171,Aralıklar!$M$2:$O$6,3,1)</f>
        <v>50</v>
      </c>
      <c r="W171" s="40">
        <f>IF(X171=0,0,(T171+V171)*R171*VLOOKUP($W$2,'Kriter Ağırlık'!$A$1:$B$8,2,1)*E171)</f>
        <v>10</v>
      </c>
      <c r="X171" s="40">
        <f>IFERROR(VLOOKUP(A171,Devamsızlıklar!A:M,13,0),1)</f>
        <v>1</v>
      </c>
      <c r="Y171" s="40">
        <f>(OEE!$K$6*VLOOKUP($Y$2,'Kriter Ağırlık'!$A$1:$B$8,2,1))*X171*E171</f>
        <v>35</v>
      </c>
      <c r="Z171" s="40">
        <f>(TELEF!$I$10*VLOOKUP($Z$2,'Kriter Ağırlık'!$A$1:$B$8,2,1))*X171*E171</f>
        <v>15</v>
      </c>
      <c r="AA171" s="40">
        <f t="shared" si="13"/>
        <v>92</v>
      </c>
      <c r="AB171" s="1">
        <v>5</v>
      </c>
      <c r="AC171" s="33">
        <f>VLOOKUP(AB171,'Kriter Ağırlık'!$A$12:$C$17,3,0)</f>
        <v>18.5</v>
      </c>
      <c r="AD171" s="106">
        <v>3</v>
      </c>
      <c r="AE171" s="33">
        <f>VLOOKUP(AD171,'Kriter Ağırlık'!$E$12:$G$24,3,0)</f>
        <v>1.1499999999999999</v>
      </c>
      <c r="AF171" s="92">
        <f t="shared" si="14"/>
        <v>1957.3</v>
      </c>
      <c r="AG171" t="str">
        <f>VLOOKUP(A171,'Çalışan Listesi'!A:G,6,0)</f>
        <v>OPERATÖR</v>
      </c>
    </row>
    <row r="172" spans="1:33" x14ac:dyDescent="0.2">
      <c r="A172" s="2">
        <v>4018</v>
      </c>
      <c r="B172" s="3" t="s">
        <v>216</v>
      </c>
      <c r="C172" s="4">
        <v>42863</v>
      </c>
      <c r="D172" s="5">
        <f t="shared" si="16"/>
        <v>90</v>
      </c>
      <c r="E172" s="6">
        <f t="shared" si="12"/>
        <v>1</v>
      </c>
      <c r="F172" s="25" t="s">
        <v>422</v>
      </c>
      <c r="G172" s="3" t="s">
        <v>54</v>
      </c>
      <c r="H172" s="106" t="str">
        <f>VLOOKUP(A172,'Çalışan Listesi'!A:G,7,0)</f>
        <v>2.KADEME</v>
      </c>
      <c r="I172" s="65">
        <f>IFERROR(VLOOKUP(A172,'Kaizen Listesi'!A:H,8,0),0)</f>
        <v>0</v>
      </c>
      <c r="J172" s="65">
        <f>I172*VLOOKUP($I$2,'Kriter Ağırlık'!$A$1:$B$8,2,0)</f>
        <v>0</v>
      </c>
      <c r="K172" s="65">
        <f>IFERROR(VLOOKUP(A172,'Hata Kartı '!A:H,8,0),0)</f>
        <v>0</v>
      </c>
      <c r="L172" s="65">
        <f>K172*(VLOOKUP($K$2,'Kriter Ağırlık'!$A$1:$B$8,2,0))</f>
        <v>0</v>
      </c>
      <c r="M172" s="65">
        <f>IFERROR(VLOOKUP(F172,'5S'!$B$8:$E$19,4,0),0)</f>
        <v>1</v>
      </c>
      <c r="N172" s="65">
        <f>VLOOKUP(M172,'5S'!$G$8:$I$14,3,1)*VLOOKUP($M$2,'Kriter Ağırlık'!$A$1:$B$8,2,0)*E172*X172</f>
        <v>8</v>
      </c>
      <c r="O172" s="1">
        <f>IFERROR(VLOOKUP(A172,Devamsızlıklar!A:K,10,0),0)</f>
        <v>0</v>
      </c>
      <c r="P172" s="40">
        <f>VLOOKUP(O172,Aralıklar!$A$2:$C$5,3,1)*VLOOKUP($O$2,'Kriter Ağırlık'!$A$1:$B$8,2,0)*E172*X172</f>
        <v>10</v>
      </c>
      <c r="Q172" s="1">
        <f>IFERROR(VLOOKUP(A172,Devamsızlıklar!A:K,8,0),0)</f>
        <v>0</v>
      </c>
      <c r="R172" s="33">
        <f>VLOOKUP(Q172,Aralıklar!$E$2:$G$5,3,1)</f>
        <v>1</v>
      </c>
      <c r="S172" s="33">
        <f>IFERROR(VLOOKUP(A172,Devamsızlıklar!A:K,9,0),0)</f>
        <v>0</v>
      </c>
      <c r="T172" s="33">
        <f>VLOOKUP(S172,Aralıklar!$I$2:$K$6,3,1)</f>
        <v>50</v>
      </c>
      <c r="U172" s="33">
        <f>IFERROR(VLOOKUP(A172,Devamsızlıklar!A:K,11,0),0)</f>
        <v>0</v>
      </c>
      <c r="V172" s="33">
        <f>VLOOKUP(U172,Aralıklar!$M$2:$O$6,3,1)</f>
        <v>50</v>
      </c>
      <c r="W172" s="40">
        <f>IF(X172=0,0,(T172+V172)*R172*VLOOKUP($W$2,'Kriter Ağırlık'!$A$1:$B$8,2,1)*E172)</f>
        <v>10</v>
      </c>
      <c r="X172" s="40">
        <f>IFERROR(VLOOKUP(A172,Devamsızlıklar!A:M,13,0),1)</f>
        <v>1</v>
      </c>
      <c r="Y172" s="40">
        <f>(OEE!$K$6*VLOOKUP($Y$2,'Kriter Ağırlık'!$A$1:$B$8,2,1))*X172*E172</f>
        <v>35</v>
      </c>
      <c r="Z172" s="40">
        <f>(TELEF!$I$10*VLOOKUP($Z$2,'Kriter Ağırlık'!$A$1:$B$8,2,1))*X172*E172</f>
        <v>15</v>
      </c>
      <c r="AA172" s="40">
        <f t="shared" si="13"/>
        <v>78</v>
      </c>
      <c r="AB172" s="1">
        <v>5</v>
      </c>
      <c r="AC172" s="33">
        <f>VLOOKUP(AB172,'Kriter Ağırlık'!$A$12:$C$17,3,0)</f>
        <v>18.5</v>
      </c>
      <c r="AD172" s="106">
        <v>4</v>
      </c>
      <c r="AE172" s="33">
        <f>VLOOKUP(AD172,'Kriter Ağırlık'!$E$12:$G$24,3,0)</f>
        <v>1.077</v>
      </c>
      <c r="AF172" s="92">
        <f t="shared" si="14"/>
        <v>1554.1109999999999</v>
      </c>
      <c r="AG172" t="str">
        <f>VLOOKUP(A172,'Çalışan Listesi'!A:G,6,0)</f>
        <v>OPERATÖR</v>
      </c>
    </row>
    <row r="173" spans="1:33" x14ac:dyDescent="0.2">
      <c r="A173" s="2">
        <v>4019</v>
      </c>
      <c r="B173" s="3" t="s">
        <v>217</v>
      </c>
      <c r="C173" s="4">
        <v>42863</v>
      </c>
      <c r="D173" s="5">
        <f t="shared" si="16"/>
        <v>90</v>
      </c>
      <c r="E173" s="6">
        <f t="shared" si="12"/>
        <v>1</v>
      </c>
      <c r="F173" s="25" t="s">
        <v>423</v>
      </c>
      <c r="G173" s="3" t="s">
        <v>95</v>
      </c>
      <c r="H173" s="106" t="str">
        <f>VLOOKUP(A173,'Çalışan Listesi'!A:G,7,0)</f>
        <v>2.KADEME</v>
      </c>
      <c r="I173" s="65">
        <f>IFERROR(VLOOKUP(A173,'Kaizen Listesi'!A:H,8,0),0)</f>
        <v>0</v>
      </c>
      <c r="J173" s="65">
        <f>I173*VLOOKUP($I$2,'Kriter Ağırlık'!$A$1:$B$8,2,0)</f>
        <v>0</v>
      </c>
      <c r="K173" s="65">
        <f>IFERROR(VLOOKUP(A173,'Hata Kartı '!A:H,8,0),0)</f>
        <v>16.666666666666668</v>
      </c>
      <c r="L173" s="65">
        <f>K173*(VLOOKUP($K$2,'Kriter Ağırlık'!$A$1:$B$8,2,0))</f>
        <v>1.666666666666667</v>
      </c>
      <c r="M173" s="65">
        <f>IFERROR(VLOOKUP(F173,'5S'!$B$8:$E$19,4,0),0)</f>
        <v>1</v>
      </c>
      <c r="N173" s="65">
        <f>VLOOKUP(M173,'5S'!$G$8:$I$14,3,1)*VLOOKUP($M$2,'Kriter Ağırlık'!$A$1:$B$8,2,0)*E173*X173</f>
        <v>7.4666666666666668</v>
      </c>
      <c r="O173" s="1">
        <f>IFERROR(VLOOKUP(A173,Devamsızlıklar!A:K,10,0),0)</f>
        <v>6</v>
      </c>
      <c r="P173" s="40">
        <f>VLOOKUP(O173,Aralıklar!$A$2:$C$5,3,1)*VLOOKUP($O$2,'Kriter Ağırlık'!$A$1:$B$8,2,0)*E173*X173</f>
        <v>0</v>
      </c>
      <c r="Q173" s="1">
        <f>IFERROR(VLOOKUP(A173,Devamsızlıklar!A:K,8,0),0)</f>
        <v>0</v>
      </c>
      <c r="R173" s="33">
        <f>VLOOKUP(Q173,Aralıklar!$E$2:$G$5,3,1)</f>
        <v>1</v>
      </c>
      <c r="S173" s="33">
        <f>IFERROR(VLOOKUP(A173,Devamsızlıklar!A:K,9,0),0)</f>
        <v>0</v>
      </c>
      <c r="T173" s="33">
        <f>VLOOKUP(S173,Aralıklar!$I$2:$K$6,3,1)</f>
        <v>50</v>
      </c>
      <c r="U173" s="33">
        <f>IFERROR(VLOOKUP(A173,Devamsızlıklar!A:K,11,0),0)</f>
        <v>0</v>
      </c>
      <c r="V173" s="33">
        <f>VLOOKUP(U173,Aralıklar!$M$2:$O$6,3,1)</f>
        <v>50</v>
      </c>
      <c r="W173" s="40">
        <f>IF(X173=0,0,(T173+V173)*R173*VLOOKUP($W$2,'Kriter Ağırlık'!$A$1:$B$8,2,1)*E173)</f>
        <v>10</v>
      </c>
      <c r="X173" s="40">
        <f>IFERROR(VLOOKUP(A173,Devamsızlıklar!A:M,13,0),1)</f>
        <v>0.93333333333333335</v>
      </c>
      <c r="Y173" s="40">
        <f>(OEE!$K$6*VLOOKUP($Y$2,'Kriter Ağırlık'!$A$1:$B$8,2,1))*X173*E173</f>
        <v>32.666666666666664</v>
      </c>
      <c r="Z173" s="40">
        <f>(TELEF!$I$10*VLOOKUP($Z$2,'Kriter Ağırlık'!$A$1:$B$8,2,1))*X173*E173</f>
        <v>14</v>
      </c>
      <c r="AA173" s="40">
        <f t="shared" si="13"/>
        <v>65.8</v>
      </c>
      <c r="AB173" s="1">
        <v>5</v>
      </c>
      <c r="AC173" s="33">
        <f>VLOOKUP(AB173,'Kriter Ağırlık'!$A$12:$C$17,3,0)</f>
        <v>18.5</v>
      </c>
      <c r="AD173" s="1">
        <v>8</v>
      </c>
      <c r="AE173" s="33">
        <f>VLOOKUP(AD173,'Kriter Ağırlık'!$E$12:$G$24,3,0)</f>
        <v>1</v>
      </c>
      <c r="AF173" s="92">
        <f t="shared" si="14"/>
        <v>1217.3</v>
      </c>
      <c r="AG173" t="str">
        <f>VLOOKUP(A173,'Çalışan Listesi'!A:G,6,0)</f>
        <v>TEKNİSYEN</v>
      </c>
    </row>
    <row r="174" spans="1:33" x14ac:dyDescent="0.2">
      <c r="A174" s="2">
        <v>4020</v>
      </c>
      <c r="B174" s="3" t="s">
        <v>218</v>
      </c>
      <c r="C174" s="4">
        <v>42863</v>
      </c>
      <c r="D174" s="5">
        <f t="shared" si="16"/>
        <v>90</v>
      </c>
      <c r="E174" s="6">
        <f t="shared" si="12"/>
        <v>1</v>
      </c>
      <c r="F174" s="25" t="s">
        <v>432</v>
      </c>
      <c r="G174" s="3" t="s">
        <v>219</v>
      </c>
      <c r="H174" s="106" t="str">
        <f>VLOOKUP(A174,'Çalışan Listesi'!A:G,7,0)</f>
        <v>3.KADEME</v>
      </c>
      <c r="I174" s="65">
        <f>IFERROR(VLOOKUP(A174,'Kaizen Listesi'!A:H,8,0),0)</f>
        <v>66.666666666666671</v>
      </c>
      <c r="J174" s="65">
        <f>I174*VLOOKUP($I$2,'Kriter Ağırlık'!$A$1:$B$8,2,0)</f>
        <v>8</v>
      </c>
      <c r="K174" s="65">
        <f>IFERROR(VLOOKUP(A174,'Hata Kartı '!A:H,8,0),0)</f>
        <v>33.333333333333336</v>
      </c>
      <c r="L174" s="65">
        <f>K174*(VLOOKUP($K$2,'Kriter Ağırlık'!$A$1:$B$8,2,0))</f>
        <v>3.3333333333333339</v>
      </c>
      <c r="M174" s="65">
        <f>IFERROR(VLOOKUP(F174,'5S'!$B$8:$E$19,4,0),0)</f>
        <v>1</v>
      </c>
      <c r="N174" s="65">
        <f>VLOOKUP(M174,'5S'!$G$8:$I$14,3,1)*VLOOKUP($M$2,'Kriter Ağırlık'!$A$1:$B$8,2,0)*E174*X174</f>
        <v>7.9111111111111114</v>
      </c>
      <c r="O174" s="1">
        <f>IFERROR(VLOOKUP(A174,Devamsızlıklar!A:K,10,0),0)</f>
        <v>0</v>
      </c>
      <c r="P174" s="40">
        <f>VLOOKUP(O174,Aralıklar!$A$2:$C$5,3,1)*VLOOKUP($O$2,'Kriter Ağırlık'!$A$1:$B$8,2,0)*E174*X174</f>
        <v>9.8888888888888893</v>
      </c>
      <c r="Q174" s="1">
        <f>IFERROR(VLOOKUP(A174,Devamsızlıklar!A:K,8,0),0)</f>
        <v>0</v>
      </c>
      <c r="R174" s="33">
        <f>VLOOKUP(Q174,Aralıklar!$E$2:$G$5,3,1)</f>
        <v>1</v>
      </c>
      <c r="S174" s="33">
        <f>IFERROR(VLOOKUP(A174,Devamsızlıklar!A:K,9,0),0)</f>
        <v>1</v>
      </c>
      <c r="T174" s="33">
        <f>VLOOKUP(S174,Aralıklar!$I$2:$K$6,3,1)</f>
        <v>50</v>
      </c>
      <c r="U174" s="33">
        <f>IFERROR(VLOOKUP(A174,Devamsızlıklar!A:K,11,0),0)</f>
        <v>0</v>
      </c>
      <c r="V174" s="33">
        <f>VLOOKUP(U174,Aralıklar!$M$2:$O$6,3,1)</f>
        <v>50</v>
      </c>
      <c r="W174" s="40">
        <f>IF(X174=0,0,(T174+V174)*R174*VLOOKUP($W$2,'Kriter Ağırlık'!$A$1:$B$8,2,1)*E174)</f>
        <v>10</v>
      </c>
      <c r="X174" s="40">
        <f>IFERROR(VLOOKUP(A174,Devamsızlıklar!A:M,13,0),1)</f>
        <v>0.98888888888888893</v>
      </c>
      <c r="Y174" s="40">
        <f>(OEE!$K$6*VLOOKUP($Y$2,'Kriter Ağırlık'!$A$1:$B$8,2,1))*X174*E174</f>
        <v>34.611111111111114</v>
      </c>
      <c r="Z174" s="40">
        <f>(TELEF!$I$10*VLOOKUP($Z$2,'Kriter Ağırlık'!$A$1:$B$8,2,1))*X174*E174</f>
        <v>14.833333333333334</v>
      </c>
      <c r="AA174" s="40">
        <f t="shared" si="13"/>
        <v>88.577777777777783</v>
      </c>
      <c r="AB174" s="1">
        <v>5</v>
      </c>
      <c r="AC174" s="33">
        <f>VLOOKUP(AB174,'Kriter Ağırlık'!$A$12:$C$17,3,0)</f>
        <v>18.5</v>
      </c>
      <c r="AD174" s="106">
        <v>3</v>
      </c>
      <c r="AE174" s="33">
        <f>VLOOKUP(AD174,'Kriter Ağırlık'!$E$12:$G$24,3,0)</f>
        <v>1.1499999999999999</v>
      </c>
      <c r="AF174" s="92">
        <f t="shared" si="14"/>
        <v>1884.4922222222222</v>
      </c>
      <c r="AG174" t="str">
        <f>VLOOKUP(A174,'Çalışan Listesi'!A:G,6,0)</f>
        <v>OPERATÖR</v>
      </c>
    </row>
    <row r="175" spans="1:33" x14ac:dyDescent="0.2">
      <c r="A175" s="2">
        <v>4021</v>
      </c>
      <c r="B175" s="3" t="s">
        <v>220</v>
      </c>
      <c r="C175" s="4">
        <v>42870</v>
      </c>
      <c r="D175" s="5">
        <f t="shared" si="16"/>
        <v>90</v>
      </c>
      <c r="E175" s="6">
        <f t="shared" si="12"/>
        <v>1</v>
      </c>
      <c r="F175" s="25" t="s">
        <v>421</v>
      </c>
      <c r="G175" s="3" t="s">
        <v>10</v>
      </c>
      <c r="H175" s="106" t="str">
        <f>VLOOKUP(A175,'Çalışan Listesi'!A:G,7,0)</f>
        <v>2.KADEME</v>
      </c>
      <c r="I175" s="65">
        <f>IFERROR(VLOOKUP(A175,'Kaizen Listesi'!A:H,8,0),0)</f>
        <v>0</v>
      </c>
      <c r="J175" s="65">
        <f>I175*VLOOKUP($I$2,'Kriter Ağırlık'!$A$1:$B$8,2,0)</f>
        <v>0</v>
      </c>
      <c r="K175" s="65">
        <f>IFERROR(VLOOKUP(A175,'Hata Kartı '!A:H,8,0),0)</f>
        <v>0</v>
      </c>
      <c r="L175" s="65">
        <f>K175*(VLOOKUP($K$2,'Kriter Ağırlık'!$A$1:$B$8,2,0))</f>
        <v>0</v>
      </c>
      <c r="M175" s="65">
        <f>IFERROR(VLOOKUP(F175,'5S'!$B$8:$E$19,4,0),0)</f>
        <v>1</v>
      </c>
      <c r="N175" s="65">
        <f>VLOOKUP(M175,'5S'!$G$8:$I$14,3,1)*VLOOKUP($M$2,'Kriter Ağırlık'!$A$1:$B$8,2,0)*E175*X175</f>
        <v>7.9111111111111114</v>
      </c>
      <c r="O175" s="1">
        <f>IFERROR(VLOOKUP(A175,Devamsızlıklar!A:K,10,0),0)</f>
        <v>0</v>
      </c>
      <c r="P175" s="40">
        <f>VLOOKUP(O175,Aralıklar!$A$2:$C$5,3,1)*VLOOKUP($O$2,'Kriter Ağırlık'!$A$1:$B$8,2,0)*E175*X175</f>
        <v>9.8888888888888893</v>
      </c>
      <c r="Q175" s="1">
        <f>IFERROR(VLOOKUP(A175,Devamsızlıklar!A:K,8,0),0)</f>
        <v>0</v>
      </c>
      <c r="R175" s="33">
        <f>VLOOKUP(Q175,Aralıklar!$E$2:$G$5,3,1)</f>
        <v>1</v>
      </c>
      <c r="S175" s="33">
        <f>IFERROR(VLOOKUP(A175,Devamsızlıklar!A:K,9,0),0)</f>
        <v>1</v>
      </c>
      <c r="T175" s="33">
        <f>VLOOKUP(S175,Aralıklar!$I$2:$K$6,3,1)</f>
        <v>50</v>
      </c>
      <c r="U175" s="33">
        <f>IFERROR(VLOOKUP(A175,Devamsızlıklar!A:K,11,0),0)</f>
        <v>0</v>
      </c>
      <c r="V175" s="33">
        <f>VLOOKUP(U175,Aralıklar!$M$2:$O$6,3,1)</f>
        <v>50</v>
      </c>
      <c r="W175" s="40">
        <f>IF(X175=0,0,(T175+V175)*R175*VLOOKUP($W$2,'Kriter Ağırlık'!$A$1:$B$8,2,1)*E175)</f>
        <v>10</v>
      </c>
      <c r="X175" s="40">
        <f>IFERROR(VLOOKUP(A175,Devamsızlıklar!A:M,13,0),1)</f>
        <v>0.98888888888888893</v>
      </c>
      <c r="Y175" s="40">
        <f>(OEE!$K$6*VLOOKUP($Y$2,'Kriter Ağırlık'!$A$1:$B$8,2,1))*X175*E175</f>
        <v>34.611111111111114</v>
      </c>
      <c r="Z175" s="40">
        <f>(TELEF!$I$10*VLOOKUP($Z$2,'Kriter Ağırlık'!$A$1:$B$8,2,1))*X175*E175</f>
        <v>14.833333333333334</v>
      </c>
      <c r="AA175" s="40">
        <f t="shared" si="13"/>
        <v>77.24444444444444</v>
      </c>
      <c r="AB175" s="1">
        <v>5</v>
      </c>
      <c r="AC175" s="33">
        <f>VLOOKUP(AB175,'Kriter Ağırlık'!$A$12:$C$17,3,0)</f>
        <v>18.5</v>
      </c>
      <c r="AD175" s="106">
        <v>4</v>
      </c>
      <c r="AE175" s="33">
        <f>VLOOKUP(AD175,'Kriter Ağırlık'!$E$12:$G$24,3,0)</f>
        <v>1.077</v>
      </c>
      <c r="AF175" s="92">
        <f t="shared" si="14"/>
        <v>1539.0569333333331</v>
      </c>
      <c r="AG175" t="str">
        <f>VLOOKUP(A175,'Çalışan Listesi'!A:G,6,0)</f>
        <v>OPERATÖR</v>
      </c>
    </row>
    <row r="176" spans="1:33" x14ac:dyDescent="0.2">
      <c r="A176" s="2">
        <v>4023</v>
      </c>
      <c r="B176" s="3" t="s">
        <v>221</v>
      </c>
      <c r="C176" s="4">
        <v>42870</v>
      </c>
      <c r="D176" s="5">
        <f t="shared" si="16"/>
        <v>90</v>
      </c>
      <c r="E176" s="6">
        <f t="shared" si="12"/>
        <v>1</v>
      </c>
      <c r="F176" s="25" t="s">
        <v>429</v>
      </c>
      <c r="G176" s="3" t="s">
        <v>46</v>
      </c>
      <c r="H176" s="106" t="str">
        <f>VLOOKUP(A176,'Çalışan Listesi'!A:G,7,0)</f>
        <v>3.KADEME</v>
      </c>
      <c r="I176" s="65">
        <f>IFERROR(VLOOKUP(A176,'Kaizen Listesi'!A:H,8,0),0)</f>
        <v>0</v>
      </c>
      <c r="J176" s="65">
        <f>I176*VLOOKUP($I$2,'Kriter Ağırlık'!$A$1:$B$8,2,0)</f>
        <v>0</v>
      </c>
      <c r="K176" s="65">
        <f>IFERROR(VLOOKUP(A176,'Hata Kartı '!A:H,8,0),0)</f>
        <v>0</v>
      </c>
      <c r="L176" s="65">
        <f>K176*(VLOOKUP($K$2,'Kriter Ağırlık'!$A$1:$B$8,2,0))</f>
        <v>0</v>
      </c>
      <c r="M176" s="65">
        <f>IFERROR(VLOOKUP(F176,'5S'!$B$8:$E$19,4,0),0)</f>
        <v>1</v>
      </c>
      <c r="N176" s="65">
        <f>VLOOKUP(M176,'5S'!$G$8:$I$14,3,1)*VLOOKUP($M$2,'Kriter Ağırlık'!$A$1:$B$8,2,0)*E176*X176</f>
        <v>7.2888888888888888</v>
      </c>
      <c r="O176" s="1">
        <f>IFERROR(VLOOKUP(A176,Devamsızlıklar!A:K,10,0),0)</f>
        <v>0</v>
      </c>
      <c r="P176" s="40">
        <f>VLOOKUP(O176,Aralıklar!$A$2:$C$5,3,1)*VLOOKUP($O$2,'Kriter Ağırlık'!$A$1:$B$8,2,0)*E176*X176</f>
        <v>9.1111111111111107</v>
      </c>
      <c r="Q176" s="1">
        <f>IFERROR(VLOOKUP(A176,Devamsızlıklar!A:K,8,0),0)</f>
        <v>0</v>
      </c>
      <c r="R176" s="33">
        <f>VLOOKUP(Q176,Aralıklar!$E$2:$G$5,3,1)</f>
        <v>1</v>
      </c>
      <c r="S176" s="33">
        <f>IFERROR(VLOOKUP(A176,Devamsızlıklar!A:K,9,0),0)</f>
        <v>0</v>
      </c>
      <c r="T176" s="33">
        <f>VLOOKUP(S176,Aralıklar!$I$2:$K$6,3,1)</f>
        <v>50</v>
      </c>
      <c r="U176" s="33">
        <f>IFERROR(VLOOKUP(A176,Devamsızlıklar!A:K,11,0),0)</f>
        <v>1</v>
      </c>
      <c r="V176" s="33">
        <f>VLOOKUP(U176,Aralıklar!$M$2:$O$6,3,1)</f>
        <v>50</v>
      </c>
      <c r="W176" s="40">
        <f>IF(X176=0,0,(T176+V176)*R176*VLOOKUP($W$2,'Kriter Ağırlık'!$A$1:$B$8,2,1)*E176)</f>
        <v>10</v>
      </c>
      <c r="X176" s="40">
        <f>IFERROR(VLOOKUP(A176,Devamsızlıklar!A:M,13,0),1)</f>
        <v>0.91111111111111109</v>
      </c>
      <c r="Y176" s="40">
        <f>(OEE!$K$6*VLOOKUP($Y$2,'Kriter Ağırlık'!$A$1:$B$8,2,1))*X176*E176</f>
        <v>31.888888888888889</v>
      </c>
      <c r="Z176" s="40">
        <f>(TELEF!$I$10*VLOOKUP($Z$2,'Kriter Ağırlık'!$A$1:$B$8,2,1))*X176*E176</f>
        <v>13.666666666666666</v>
      </c>
      <c r="AA176" s="40">
        <f t="shared" si="13"/>
        <v>71.955555555555563</v>
      </c>
      <c r="AB176" s="1">
        <v>5</v>
      </c>
      <c r="AC176" s="33">
        <f>VLOOKUP(AB176,'Kriter Ağırlık'!$A$12:$C$17,3,0)</f>
        <v>18.5</v>
      </c>
      <c r="AD176" s="106">
        <v>3</v>
      </c>
      <c r="AE176" s="33">
        <f>VLOOKUP(AD176,'Kriter Ağırlık'!$E$12:$G$24,3,0)</f>
        <v>1.1499999999999999</v>
      </c>
      <c r="AF176" s="92">
        <f t="shared" si="14"/>
        <v>1530.8544444444444</v>
      </c>
      <c r="AG176" t="str">
        <f>VLOOKUP(A176,'Çalışan Listesi'!A:G,6,0)</f>
        <v>OPERATÖR</v>
      </c>
    </row>
    <row r="177" spans="1:33" x14ac:dyDescent="0.2">
      <c r="A177" s="2">
        <v>4036</v>
      </c>
      <c r="B177" s="3" t="s">
        <v>222</v>
      </c>
      <c r="C177" s="4">
        <v>42884</v>
      </c>
      <c r="D177" s="5">
        <f t="shared" si="16"/>
        <v>90</v>
      </c>
      <c r="E177" s="6">
        <f t="shared" si="12"/>
        <v>1</v>
      </c>
      <c r="F177" s="25" t="s">
        <v>429</v>
      </c>
      <c r="G177" s="3" t="s">
        <v>46</v>
      </c>
      <c r="H177" s="106" t="str">
        <f>VLOOKUP(A177,'Çalışan Listesi'!A:G,7,0)</f>
        <v>2.KADEME</v>
      </c>
      <c r="I177" s="65">
        <f>IFERROR(VLOOKUP(A177,'Kaizen Listesi'!A:H,8,0),0)</f>
        <v>0</v>
      </c>
      <c r="J177" s="65">
        <f>I177*VLOOKUP($I$2,'Kriter Ağırlık'!$A$1:$B$8,2,0)</f>
        <v>0</v>
      </c>
      <c r="K177" s="65">
        <f>IFERROR(VLOOKUP(A177,'Hata Kartı '!A:H,8,0),0)</f>
        <v>0</v>
      </c>
      <c r="L177" s="65">
        <f>K177*(VLOOKUP($K$2,'Kriter Ağırlık'!$A$1:$B$8,2,0))</f>
        <v>0</v>
      </c>
      <c r="M177" s="65">
        <f>IFERROR(VLOOKUP(F177,'5S'!$B$8:$E$19,4,0),0)</f>
        <v>1</v>
      </c>
      <c r="N177" s="65">
        <f>VLOOKUP(M177,'5S'!$G$8:$I$14,3,1)*VLOOKUP($M$2,'Kriter Ağırlık'!$A$1:$B$8,2,0)*E177*X177</f>
        <v>8</v>
      </c>
      <c r="O177" s="1">
        <f>IFERROR(VLOOKUP(A177,Devamsızlıklar!A:K,10,0),0)</f>
        <v>0</v>
      </c>
      <c r="P177" s="40">
        <f>VLOOKUP(O177,Aralıklar!$A$2:$C$5,3,1)*VLOOKUP($O$2,'Kriter Ağırlık'!$A$1:$B$8,2,0)*E177*X177</f>
        <v>10</v>
      </c>
      <c r="Q177" s="1">
        <f>IFERROR(VLOOKUP(A177,Devamsızlıklar!A:K,8,0),0)</f>
        <v>0</v>
      </c>
      <c r="R177" s="33">
        <f>VLOOKUP(Q177,Aralıklar!$E$2:$G$5,3,1)</f>
        <v>1</v>
      </c>
      <c r="S177" s="33">
        <f>IFERROR(VLOOKUP(A177,Devamsızlıklar!A:K,9,0),0)</f>
        <v>0</v>
      </c>
      <c r="T177" s="33">
        <f>VLOOKUP(S177,Aralıklar!$I$2:$K$6,3,1)</f>
        <v>50</v>
      </c>
      <c r="U177" s="33">
        <f>IFERROR(VLOOKUP(A177,Devamsızlıklar!A:K,11,0),0)</f>
        <v>0</v>
      </c>
      <c r="V177" s="33">
        <f>VLOOKUP(U177,Aralıklar!$M$2:$O$6,3,1)</f>
        <v>50</v>
      </c>
      <c r="W177" s="40">
        <f>IF(X177=0,0,(T177+V177)*R177*VLOOKUP($W$2,'Kriter Ağırlık'!$A$1:$B$8,2,1)*E177)</f>
        <v>10</v>
      </c>
      <c r="X177" s="40">
        <f>IFERROR(VLOOKUP(A177,Devamsızlıklar!A:M,13,0),1)</f>
        <v>1</v>
      </c>
      <c r="Y177" s="40">
        <f>(OEE!$K$6*VLOOKUP($Y$2,'Kriter Ağırlık'!$A$1:$B$8,2,1))*X177*E177</f>
        <v>35</v>
      </c>
      <c r="Z177" s="40">
        <f>(TELEF!$I$10*VLOOKUP($Z$2,'Kriter Ağırlık'!$A$1:$B$8,2,1))*X177*E177</f>
        <v>15</v>
      </c>
      <c r="AA177" s="40">
        <f t="shared" si="13"/>
        <v>78</v>
      </c>
      <c r="AB177" s="1">
        <v>5</v>
      </c>
      <c r="AC177" s="33">
        <f>VLOOKUP(AB177,'Kriter Ağırlık'!$A$12:$C$17,3,0)</f>
        <v>18.5</v>
      </c>
      <c r="AD177" s="106">
        <v>4</v>
      </c>
      <c r="AE177" s="33">
        <f>VLOOKUP(AD177,'Kriter Ağırlık'!$E$12:$G$24,3,0)</f>
        <v>1.077</v>
      </c>
      <c r="AF177" s="92">
        <f t="shared" si="14"/>
        <v>1554.1109999999999</v>
      </c>
      <c r="AG177" t="str">
        <f>VLOOKUP(A177,'Çalışan Listesi'!A:G,6,0)</f>
        <v>OPERATÖR</v>
      </c>
    </row>
    <row r="178" spans="1:33" x14ac:dyDescent="0.2">
      <c r="A178" s="2">
        <v>4037</v>
      </c>
      <c r="B178" s="3" t="s">
        <v>223</v>
      </c>
      <c r="C178" s="4">
        <v>42884</v>
      </c>
      <c r="D178" s="5">
        <f t="shared" si="16"/>
        <v>90</v>
      </c>
      <c r="E178" s="6">
        <f t="shared" si="12"/>
        <v>1</v>
      </c>
      <c r="F178" s="25" t="s">
        <v>421</v>
      </c>
      <c r="G178" s="3" t="s">
        <v>86</v>
      </c>
      <c r="H178" s="106" t="str">
        <f>VLOOKUP(A178,'Çalışan Listesi'!A:G,7,0)</f>
        <v>3.KADEME</v>
      </c>
      <c r="I178" s="65">
        <f>IFERROR(VLOOKUP(A178,'Kaizen Listesi'!A:H,8,0),0)</f>
        <v>0</v>
      </c>
      <c r="J178" s="65">
        <f>I178*VLOOKUP($I$2,'Kriter Ağırlık'!$A$1:$B$8,2,0)</f>
        <v>0</v>
      </c>
      <c r="K178" s="65">
        <f>IFERROR(VLOOKUP(A178,'Hata Kartı '!A:H,8,0),0)</f>
        <v>50</v>
      </c>
      <c r="L178" s="65">
        <f>K178*(VLOOKUP($K$2,'Kriter Ağırlık'!$A$1:$B$8,2,0))</f>
        <v>5</v>
      </c>
      <c r="M178" s="65">
        <f>IFERROR(VLOOKUP(F178,'5S'!$B$8:$E$19,4,0),0)</f>
        <v>1</v>
      </c>
      <c r="N178" s="65">
        <f>VLOOKUP(M178,'5S'!$G$8:$I$14,3,1)*VLOOKUP($M$2,'Kriter Ağırlık'!$A$1:$B$8,2,0)*E178*X178</f>
        <v>7.1111111111111107</v>
      </c>
      <c r="O178" s="1">
        <f>IFERROR(VLOOKUP(A178,Devamsızlıklar!A:K,10,0),0)</f>
        <v>0</v>
      </c>
      <c r="P178" s="40">
        <f>VLOOKUP(O178,Aralıklar!$A$2:$C$5,3,1)*VLOOKUP($O$2,'Kriter Ağırlık'!$A$1:$B$8,2,0)*E178*X178</f>
        <v>8.8888888888888893</v>
      </c>
      <c r="Q178" s="1">
        <f>IFERROR(VLOOKUP(A178,Devamsızlıklar!A:K,8,0),0)</f>
        <v>0</v>
      </c>
      <c r="R178" s="33">
        <f>VLOOKUP(Q178,Aralıklar!$E$2:$G$5,3,1)</f>
        <v>1</v>
      </c>
      <c r="S178" s="33">
        <f>IFERROR(VLOOKUP(A178,Devamsızlıklar!A:K,9,0),0)</f>
        <v>0</v>
      </c>
      <c r="T178" s="33">
        <f>VLOOKUP(S178,Aralıklar!$I$2:$K$6,3,1)</f>
        <v>50</v>
      </c>
      <c r="U178" s="33">
        <f>IFERROR(VLOOKUP(A178,Devamsızlıklar!A:K,11,0),0)</f>
        <v>0</v>
      </c>
      <c r="V178" s="33">
        <f>VLOOKUP(U178,Aralıklar!$M$2:$O$6,3,1)</f>
        <v>50</v>
      </c>
      <c r="W178" s="40">
        <f>IF(X178=0,0,(T178+V178)*R178*VLOOKUP($W$2,'Kriter Ağırlık'!$A$1:$B$8,2,1)*E178)</f>
        <v>10</v>
      </c>
      <c r="X178" s="40">
        <f>IFERROR(VLOOKUP(A178,Devamsızlıklar!A:M,13,0),1)</f>
        <v>0.88888888888888884</v>
      </c>
      <c r="Y178" s="40">
        <f>(OEE!$K$6*VLOOKUP($Y$2,'Kriter Ağırlık'!$A$1:$B$8,2,1))*X178*E178</f>
        <v>31.111111111111111</v>
      </c>
      <c r="Z178" s="40">
        <f>(TELEF!$I$10*VLOOKUP($Z$2,'Kriter Ağırlık'!$A$1:$B$8,2,1))*X178*E178</f>
        <v>13.333333333333332</v>
      </c>
      <c r="AA178" s="40">
        <f t="shared" si="13"/>
        <v>75.444444444444443</v>
      </c>
      <c r="AB178" s="1">
        <v>5</v>
      </c>
      <c r="AC178" s="33">
        <f>VLOOKUP(AB178,'Kriter Ağırlık'!$A$12:$C$17,3,0)</f>
        <v>18.5</v>
      </c>
      <c r="AD178" s="106">
        <v>3</v>
      </c>
      <c r="AE178" s="33">
        <f>VLOOKUP(AD178,'Kriter Ağırlık'!$E$12:$G$24,3,0)</f>
        <v>1.1499999999999999</v>
      </c>
      <c r="AF178" s="92">
        <f t="shared" si="14"/>
        <v>1605.0805555555553</v>
      </c>
      <c r="AG178" t="str">
        <f>VLOOKUP(A178,'Çalışan Listesi'!A:G,6,0)</f>
        <v>OPERATÖR</v>
      </c>
    </row>
    <row r="179" spans="1:33" x14ac:dyDescent="0.2">
      <c r="A179" s="2">
        <v>4043</v>
      </c>
      <c r="B179" s="3" t="s">
        <v>224</v>
      </c>
      <c r="C179" s="4">
        <v>42891</v>
      </c>
      <c r="D179" s="5">
        <f t="shared" si="16"/>
        <v>90</v>
      </c>
      <c r="E179" s="6">
        <f t="shared" si="12"/>
        <v>1</v>
      </c>
      <c r="F179" s="25" t="s">
        <v>426</v>
      </c>
      <c r="G179" s="3" t="s">
        <v>549</v>
      </c>
      <c r="H179" s="106" t="str">
        <f>VLOOKUP(A179,'Çalışan Listesi'!A:G,7,0)</f>
        <v>2.KADEME</v>
      </c>
      <c r="I179" s="65">
        <f>IFERROR(VLOOKUP(A179,'Kaizen Listesi'!A:H,8,0),0)</f>
        <v>33.333333333333336</v>
      </c>
      <c r="J179" s="65">
        <f>I179*VLOOKUP($I$2,'Kriter Ağırlık'!$A$1:$B$8,2,0)</f>
        <v>4</v>
      </c>
      <c r="K179" s="65">
        <f>IFERROR(VLOOKUP(A179,'Hata Kartı '!A:H,8,0),0)</f>
        <v>33.333333333333336</v>
      </c>
      <c r="L179" s="65">
        <f>K179*(VLOOKUP($K$2,'Kriter Ağırlık'!$A$1:$B$8,2,0))</f>
        <v>3.3333333333333339</v>
      </c>
      <c r="M179" s="65">
        <f>IFERROR(VLOOKUP(F179,'5S'!$B$8:$E$19,4,0),0)</f>
        <v>1</v>
      </c>
      <c r="N179" s="65">
        <f>VLOOKUP(M179,'5S'!$G$8:$I$14,3,1)*VLOOKUP($M$2,'Kriter Ağırlık'!$A$1:$B$8,2,0)*E179*X179</f>
        <v>8</v>
      </c>
      <c r="O179" s="76">
        <f>IFERROR(VLOOKUP(A179,Devamsızlıklar!A:K,10,0),0)</f>
        <v>0</v>
      </c>
      <c r="P179" s="40">
        <f>VLOOKUP(O179,Aralıklar!$A$2:$C$5,3,1)*VLOOKUP($O$2,'Kriter Ağırlık'!$A$1:$B$8,2,0)*E179*X179</f>
        <v>10</v>
      </c>
      <c r="Q179" s="76">
        <f>IFERROR(VLOOKUP(A179,Devamsızlıklar!A:K,8,0),0)</f>
        <v>0</v>
      </c>
      <c r="R179" s="76">
        <f>VLOOKUP(Q179,Aralıklar!$E$2:$G$5,3,1)</f>
        <v>1</v>
      </c>
      <c r="S179" s="76">
        <f>IFERROR(VLOOKUP(A179,Devamsızlıklar!A:K,9,0),0)</f>
        <v>0</v>
      </c>
      <c r="T179" s="76">
        <f>VLOOKUP(S179,Aralıklar!$I$2:$K$6,3,1)</f>
        <v>50</v>
      </c>
      <c r="U179" s="76">
        <f>IFERROR(VLOOKUP(A179,Devamsızlıklar!A:K,11,0),0)</f>
        <v>0</v>
      </c>
      <c r="V179" s="76">
        <f>VLOOKUP(U179,Aralıklar!$M$2:$O$6,3,1)</f>
        <v>50</v>
      </c>
      <c r="W179" s="40">
        <f>IF(X179=0,0,(T179+V179)*R179*VLOOKUP($W$2,'Kriter Ağırlık'!$A$1:$B$8,2,1)*E179)</f>
        <v>10</v>
      </c>
      <c r="X179" s="40">
        <f>IFERROR(VLOOKUP(A179,Devamsızlıklar!A:M,13,0),1)</f>
        <v>1</v>
      </c>
      <c r="Y179" s="40">
        <f>(OEE!$K$6*VLOOKUP($Y$2,'Kriter Ağırlık'!$A$1:$B$8,2,1))*X179*E179</f>
        <v>35</v>
      </c>
      <c r="Z179" s="40">
        <f>(TELEF!$I$10*VLOOKUP($Z$2,'Kriter Ağırlık'!$A$1:$B$8,2,1))*X179*E179</f>
        <v>15</v>
      </c>
      <c r="AA179" s="40">
        <f t="shared" si="13"/>
        <v>85.333333333333343</v>
      </c>
      <c r="AB179" s="76">
        <v>5</v>
      </c>
      <c r="AC179" s="76">
        <f>VLOOKUP(AB179,'Kriter Ağırlık'!$A$12:$C$17,3,0)</f>
        <v>18.5</v>
      </c>
      <c r="AD179" s="106">
        <v>4</v>
      </c>
      <c r="AE179" s="76">
        <f>VLOOKUP(AD179,'Kriter Ağırlık'!$E$12:$G$24,3,0)</f>
        <v>1.077</v>
      </c>
      <c r="AF179" s="92">
        <f t="shared" si="14"/>
        <v>1700.2239999999999</v>
      </c>
      <c r="AG179" t="str">
        <f>VLOOKUP(A179,'Çalışan Listesi'!A:G,6,0)</f>
        <v>OPERATÖR</v>
      </c>
    </row>
    <row r="180" spans="1:33" x14ac:dyDescent="0.2">
      <c r="A180" s="2">
        <v>4056</v>
      </c>
      <c r="B180" s="3" t="s">
        <v>225</v>
      </c>
      <c r="C180" s="4">
        <v>42914</v>
      </c>
      <c r="D180" s="5">
        <f t="shared" si="16"/>
        <v>90</v>
      </c>
      <c r="E180" s="6">
        <f t="shared" si="12"/>
        <v>1</v>
      </c>
      <c r="F180" s="25" t="s">
        <v>421</v>
      </c>
      <c r="G180" s="3" t="s">
        <v>86</v>
      </c>
      <c r="H180" s="106" t="str">
        <f>VLOOKUP(A180,'Çalışan Listesi'!A:G,7,0)</f>
        <v>3.KADEME</v>
      </c>
      <c r="I180" s="65">
        <f>IFERROR(VLOOKUP(A180,'Kaizen Listesi'!A:H,8,0),0)</f>
        <v>0</v>
      </c>
      <c r="J180" s="65">
        <f>I180*VLOOKUP($I$2,'Kriter Ağırlık'!$A$1:$B$8,2,0)</f>
        <v>0</v>
      </c>
      <c r="K180" s="65">
        <f>IFERROR(VLOOKUP(A180,'Hata Kartı '!A:H,8,0),0)</f>
        <v>0</v>
      </c>
      <c r="L180" s="65">
        <f>K180*(VLOOKUP($K$2,'Kriter Ağırlık'!$A$1:$B$8,2,0))</f>
        <v>0</v>
      </c>
      <c r="M180" s="65">
        <f>IFERROR(VLOOKUP(F180,'5S'!$B$8:$E$19,4,0),0)</f>
        <v>1</v>
      </c>
      <c r="N180" s="65">
        <f>VLOOKUP(M180,'5S'!$G$8:$I$14,3,1)*VLOOKUP($M$2,'Kriter Ağırlık'!$A$1:$B$8,2,0)*E180*X180</f>
        <v>8</v>
      </c>
      <c r="O180" s="1">
        <f>IFERROR(VLOOKUP(A180,Devamsızlıklar!A:K,10,0),0)</f>
        <v>0</v>
      </c>
      <c r="P180" s="40">
        <f>VLOOKUP(O180,Aralıklar!$A$2:$C$5,3,1)*VLOOKUP($O$2,'Kriter Ağırlık'!$A$1:$B$8,2,0)*E180*X180</f>
        <v>10</v>
      </c>
      <c r="Q180" s="1">
        <f>IFERROR(VLOOKUP(A180,Devamsızlıklar!A:K,8,0),0)</f>
        <v>0</v>
      </c>
      <c r="R180" s="33">
        <f>VLOOKUP(Q180,Aralıklar!$E$2:$G$5,3,1)</f>
        <v>1</v>
      </c>
      <c r="S180" s="33">
        <f>IFERROR(VLOOKUP(A180,Devamsızlıklar!A:K,9,0),0)</f>
        <v>0</v>
      </c>
      <c r="T180" s="33">
        <f>VLOOKUP(S180,Aralıklar!$I$2:$K$6,3,1)</f>
        <v>50</v>
      </c>
      <c r="U180" s="33">
        <f>IFERROR(VLOOKUP(A180,Devamsızlıklar!A:K,11,0),0)</f>
        <v>0</v>
      </c>
      <c r="V180" s="33">
        <f>VLOOKUP(U180,Aralıklar!$M$2:$O$6,3,1)</f>
        <v>50</v>
      </c>
      <c r="W180" s="40">
        <f>IF(X180=0,0,(T180+V180)*R180*VLOOKUP($W$2,'Kriter Ağırlık'!$A$1:$B$8,2,1)*E180)</f>
        <v>10</v>
      </c>
      <c r="X180" s="40">
        <f>IFERROR(VLOOKUP(A180,Devamsızlıklar!A:M,13,0),1)</f>
        <v>1</v>
      </c>
      <c r="Y180" s="40">
        <f>(OEE!$K$6*VLOOKUP($Y$2,'Kriter Ağırlık'!$A$1:$B$8,2,1))*X180*E180</f>
        <v>35</v>
      </c>
      <c r="Z180" s="40">
        <f>(TELEF!$I$10*VLOOKUP($Z$2,'Kriter Ağırlık'!$A$1:$B$8,2,1))*X180*E180</f>
        <v>15</v>
      </c>
      <c r="AA180" s="40">
        <f t="shared" si="13"/>
        <v>78</v>
      </c>
      <c r="AB180" s="1">
        <v>5</v>
      </c>
      <c r="AC180" s="33">
        <f>VLOOKUP(AB180,'Kriter Ağırlık'!$A$12:$C$17,3,0)</f>
        <v>18.5</v>
      </c>
      <c r="AD180" s="1">
        <v>3</v>
      </c>
      <c r="AE180" s="33">
        <f>VLOOKUP(AD180,'Kriter Ağırlık'!$E$12:$G$24,3,0)</f>
        <v>1.1499999999999999</v>
      </c>
      <c r="AF180" s="92">
        <f t="shared" si="14"/>
        <v>1659.4499999999998</v>
      </c>
      <c r="AG180" t="str">
        <f>VLOOKUP(A180,'Çalışan Listesi'!A:G,6,0)</f>
        <v>OPERATÖR</v>
      </c>
    </row>
    <row r="181" spans="1:33" x14ac:dyDescent="0.2">
      <c r="A181" s="2">
        <v>4059</v>
      </c>
      <c r="B181" s="3" t="s">
        <v>226</v>
      </c>
      <c r="C181" s="4">
        <v>42926</v>
      </c>
      <c r="D181" s="5">
        <f t="shared" si="16"/>
        <v>90</v>
      </c>
      <c r="E181" s="6">
        <f t="shared" si="12"/>
        <v>1</v>
      </c>
      <c r="F181" s="25" t="s">
        <v>426</v>
      </c>
      <c r="G181" s="3" t="s">
        <v>69</v>
      </c>
      <c r="H181" s="106" t="str">
        <f>VLOOKUP(A181,'Çalışan Listesi'!A:G,7,0)</f>
        <v>3.KADEME</v>
      </c>
      <c r="I181" s="65">
        <f>IFERROR(VLOOKUP(A181,'Kaizen Listesi'!A:H,8,0),0)</f>
        <v>66.666666666666671</v>
      </c>
      <c r="J181" s="65">
        <f>I181*VLOOKUP($I$2,'Kriter Ağırlık'!$A$1:$B$8,2,0)</f>
        <v>8</v>
      </c>
      <c r="K181" s="65">
        <f>IFERROR(VLOOKUP(A181,'Hata Kartı '!A:H,8,0),0)</f>
        <v>0</v>
      </c>
      <c r="L181" s="65">
        <f>K181*(VLOOKUP($K$2,'Kriter Ağırlık'!$A$1:$B$8,2,0))</f>
        <v>0</v>
      </c>
      <c r="M181" s="65">
        <f>IFERROR(VLOOKUP(F181,'5S'!$B$8:$E$19,4,0),0)</f>
        <v>1</v>
      </c>
      <c r="N181" s="65">
        <f>VLOOKUP(M181,'5S'!$G$8:$I$14,3,1)*VLOOKUP($M$2,'Kriter Ağırlık'!$A$1:$B$8,2,0)*E181*X181</f>
        <v>7.3777777777777782</v>
      </c>
      <c r="O181" s="1">
        <f>IFERROR(VLOOKUP(A181,Devamsızlıklar!A:K,10,0),0)</f>
        <v>0</v>
      </c>
      <c r="P181" s="40">
        <f>VLOOKUP(O181,Aralıklar!$A$2:$C$5,3,1)*VLOOKUP($O$2,'Kriter Ağırlık'!$A$1:$B$8,2,0)*E181*X181</f>
        <v>9.2222222222222232</v>
      </c>
      <c r="Q181" s="1">
        <f>IFERROR(VLOOKUP(A181,Devamsızlıklar!A:K,8,0),0)</f>
        <v>0</v>
      </c>
      <c r="R181" s="33">
        <f>VLOOKUP(Q181,Aralıklar!$E$2:$G$5,3,1)</f>
        <v>1</v>
      </c>
      <c r="S181" s="33">
        <f>IFERROR(VLOOKUP(A181,Devamsızlıklar!A:K,9,0),0)</f>
        <v>0</v>
      </c>
      <c r="T181" s="33">
        <f>VLOOKUP(S181,Aralıklar!$I$2:$K$6,3,1)</f>
        <v>50</v>
      </c>
      <c r="U181" s="33">
        <f>IFERROR(VLOOKUP(A181,Devamsızlıklar!A:K,11,0),0)</f>
        <v>0</v>
      </c>
      <c r="V181" s="33">
        <f>VLOOKUP(U181,Aralıklar!$M$2:$O$6,3,1)</f>
        <v>50</v>
      </c>
      <c r="W181" s="40">
        <f>IF(X181=0,0,(T181+V181)*R181*VLOOKUP($W$2,'Kriter Ağırlık'!$A$1:$B$8,2,1)*E181)</f>
        <v>10</v>
      </c>
      <c r="X181" s="40">
        <f>IFERROR(VLOOKUP(A181,Devamsızlıklar!A:M,13,0),1)</f>
        <v>0.92222222222222228</v>
      </c>
      <c r="Y181" s="40">
        <f>(OEE!$K$6*VLOOKUP($Y$2,'Kriter Ağırlık'!$A$1:$B$8,2,1))*X181*E181</f>
        <v>32.277777777777779</v>
      </c>
      <c r="Z181" s="40">
        <f>(TELEF!$I$10*VLOOKUP($Z$2,'Kriter Ağırlık'!$A$1:$B$8,2,1))*X181*E181</f>
        <v>13.833333333333334</v>
      </c>
      <c r="AA181" s="40">
        <f t="shared" si="13"/>
        <v>80.711111111111109</v>
      </c>
      <c r="AB181" s="1">
        <v>3</v>
      </c>
      <c r="AC181" s="33">
        <f>VLOOKUP(AB181,'Kriter Ağırlık'!$A$12:$C$17,3,0)</f>
        <v>0</v>
      </c>
      <c r="AD181" s="1">
        <v>3</v>
      </c>
      <c r="AE181" s="33">
        <f>VLOOKUP(AD181,'Kriter Ağırlık'!$E$12:$G$24,3,0)</f>
        <v>1.1499999999999999</v>
      </c>
      <c r="AF181" s="92">
        <f t="shared" si="14"/>
        <v>0</v>
      </c>
      <c r="AG181" t="str">
        <f>VLOOKUP(A181,'Çalışan Listesi'!A:G,6,0)</f>
        <v>TAKIM LİDERİ</v>
      </c>
    </row>
    <row r="182" spans="1:33" x14ac:dyDescent="0.2">
      <c r="A182" s="2">
        <v>4076</v>
      </c>
      <c r="B182" s="3" t="s">
        <v>227</v>
      </c>
      <c r="C182" s="4">
        <v>42948</v>
      </c>
      <c r="D182" s="5">
        <f t="shared" si="16"/>
        <v>90</v>
      </c>
      <c r="E182" s="6">
        <f t="shared" si="12"/>
        <v>1</v>
      </c>
      <c r="F182" s="25" t="s">
        <v>421</v>
      </c>
      <c r="G182" s="3" t="s">
        <v>86</v>
      </c>
      <c r="H182" s="106" t="str">
        <f>VLOOKUP(A182,'Çalışan Listesi'!A:G,7,0)</f>
        <v>3.KADEME</v>
      </c>
      <c r="I182" s="65">
        <f>IFERROR(VLOOKUP(A182,'Kaizen Listesi'!A:H,8,0),0)</f>
        <v>0</v>
      </c>
      <c r="J182" s="65">
        <f>I182*VLOOKUP($I$2,'Kriter Ağırlık'!$A$1:$B$8,2,0)</f>
        <v>0</v>
      </c>
      <c r="K182" s="65">
        <f>IFERROR(VLOOKUP(A182,'Hata Kartı '!A:H,8,0),0)</f>
        <v>50</v>
      </c>
      <c r="L182" s="65">
        <f>K182*(VLOOKUP($K$2,'Kriter Ağırlık'!$A$1:$B$8,2,0))</f>
        <v>5</v>
      </c>
      <c r="M182" s="65">
        <f>IFERROR(VLOOKUP(F182,'5S'!$B$8:$E$19,4,0),0)</f>
        <v>1</v>
      </c>
      <c r="N182" s="65">
        <f>VLOOKUP(M182,'5S'!$G$8:$I$14,3,1)*VLOOKUP($M$2,'Kriter Ağırlık'!$A$1:$B$8,2,0)*E182*X182</f>
        <v>8</v>
      </c>
      <c r="O182" s="1">
        <f>IFERROR(VLOOKUP(A182,Devamsızlıklar!A:K,10,0),0)</f>
        <v>0</v>
      </c>
      <c r="P182" s="40">
        <f>VLOOKUP(O182,Aralıklar!$A$2:$C$5,3,1)*VLOOKUP($O$2,'Kriter Ağırlık'!$A$1:$B$8,2,0)*E182*X182</f>
        <v>10</v>
      </c>
      <c r="Q182" s="1">
        <f>IFERROR(VLOOKUP(A182,Devamsızlıklar!A:K,8,0),0)</f>
        <v>0</v>
      </c>
      <c r="R182" s="33">
        <f>VLOOKUP(Q182,Aralıklar!$E$2:$G$5,3,1)</f>
        <v>1</v>
      </c>
      <c r="S182" s="33">
        <f>IFERROR(VLOOKUP(A182,Devamsızlıklar!A:K,9,0),0)</f>
        <v>0</v>
      </c>
      <c r="T182" s="33">
        <f>VLOOKUP(S182,Aralıklar!$I$2:$K$6,3,1)</f>
        <v>50</v>
      </c>
      <c r="U182" s="33">
        <f>IFERROR(VLOOKUP(A182,Devamsızlıklar!A:K,11,0),0)</f>
        <v>0</v>
      </c>
      <c r="V182" s="33">
        <f>VLOOKUP(U182,Aralıklar!$M$2:$O$6,3,1)</f>
        <v>50</v>
      </c>
      <c r="W182" s="40">
        <f>IF(X182=0,0,(T182+V182)*R182*VLOOKUP($W$2,'Kriter Ağırlık'!$A$1:$B$8,2,1)*E182)</f>
        <v>10</v>
      </c>
      <c r="X182" s="40">
        <f>IFERROR(VLOOKUP(A182,Devamsızlıklar!A:M,13,0),1)</f>
        <v>1</v>
      </c>
      <c r="Y182" s="40">
        <f>(OEE!$K$6*VLOOKUP($Y$2,'Kriter Ağırlık'!$A$1:$B$8,2,1))*X182*E182</f>
        <v>35</v>
      </c>
      <c r="Z182" s="40">
        <f>(TELEF!$I$10*VLOOKUP($Z$2,'Kriter Ağırlık'!$A$1:$B$8,2,1))*X182*E182</f>
        <v>15</v>
      </c>
      <c r="AA182" s="40">
        <f t="shared" si="13"/>
        <v>83</v>
      </c>
      <c r="AB182" s="1">
        <v>5</v>
      </c>
      <c r="AC182" s="33">
        <f>VLOOKUP(AB182,'Kriter Ağırlık'!$A$12:$C$17,3,0)</f>
        <v>18.5</v>
      </c>
      <c r="AD182" s="1">
        <v>3</v>
      </c>
      <c r="AE182" s="33">
        <f>VLOOKUP(AD182,'Kriter Ağırlık'!$E$12:$G$24,3,0)</f>
        <v>1.1499999999999999</v>
      </c>
      <c r="AF182" s="92">
        <f t="shared" si="14"/>
        <v>1765.8249999999998</v>
      </c>
      <c r="AG182" t="str">
        <f>VLOOKUP(A182,'Çalışan Listesi'!A:G,6,0)</f>
        <v>OPERATÖR</v>
      </c>
    </row>
    <row r="183" spans="1:33" x14ac:dyDescent="0.2">
      <c r="A183" s="2">
        <v>4078</v>
      </c>
      <c r="B183" s="3" t="s">
        <v>228</v>
      </c>
      <c r="C183" s="4">
        <v>42954</v>
      </c>
      <c r="D183" s="5">
        <f t="shared" si="16"/>
        <v>90</v>
      </c>
      <c r="E183" s="6">
        <f t="shared" si="12"/>
        <v>1</v>
      </c>
      <c r="F183" s="25" t="s">
        <v>426</v>
      </c>
      <c r="G183" s="3" t="s">
        <v>158</v>
      </c>
      <c r="H183" s="106" t="str">
        <f>VLOOKUP(A183,'Çalışan Listesi'!A:G,7,0)</f>
        <v>3.KADEME</v>
      </c>
      <c r="I183" s="65">
        <f>IFERROR(VLOOKUP(A183,'Kaizen Listesi'!A:H,8,0),0)</f>
        <v>33.333333333333336</v>
      </c>
      <c r="J183" s="65">
        <f>I183*VLOOKUP($I$2,'Kriter Ağırlık'!$A$1:$B$8,2,0)</f>
        <v>4</v>
      </c>
      <c r="K183" s="65">
        <f>IFERROR(VLOOKUP(A183,'Hata Kartı '!A:H,8,0),0)</f>
        <v>0</v>
      </c>
      <c r="L183" s="65">
        <f>K183*(VLOOKUP($K$2,'Kriter Ağırlık'!$A$1:$B$8,2,0))</f>
        <v>0</v>
      </c>
      <c r="M183" s="65">
        <f>IFERROR(VLOOKUP(F183,'5S'!$B$8:$E$19,4,0),0)</f>
        <v>1</v>
      </c>
      <c r="N183" s="65">
        <f>VLOOKUP(M183,'5S'!$G$8:$I$14,3,1)*VLOOKUP($M$2,'Kriter Ağırlık'!$A$1:$B$8,2,0)*E183*X183</f>
        <v>8</v>
      </c>
      <c r="O183" s="1">
        <f>IFERROR(VLOOKUP(A183,Devamsızlıklar!A:K,10,0),0)</f>
        <v>0</v>
      </c>
      <c r="P183" s="40">
        <f>VLOOKUP(O183,Aralıklar!$A$2:$C$5,3,1)*VLOOKUP($O$2,'Kriter Ağırlık'!$A$1:$B$8,2,0)*E183*X183</f>
        <v>10</v>
      </c>
      <c r="Q183" s="1">
        <f>IFERROR(VLOOKUP(A183,Devamsızlıklar!A:K,8,0),0)</f>
        <v>0</v>
      </c>
      <c r="R183" s="33">
        <f>VLOOKUP(Q183,Aralıklar!$E$2:$G$5,3,1)</f>
        <v>1</v>
      </c>
      <c r="S183" s="33">
        <f>IFERROR(VLOOKUP(A183,Devamsızlıklar!A:K,9,0),0)</f>
        <v>0</v>
      </c>
      <c r="T183" s="33">
        <f>VLOOKUP(S183,Aralıklar!$I$2:$K$6,3,1)</f>
        <v>50</v>
      </c>
      <c r="U183" s="33">
        <f>IFERROR(VLOOKUP(A183,Devamsızlıklar!A:K,11,0),0)</f>
        <v>0</v>
      </c>
      <c r="V183" s="33">
        <f>VLOOKUP(U183,Aralıklar!$M$2:$O$6,3,1)</f>
        <v>50</v>
      </c>
      <c r="W183" s="40">
        <f>IF(X183=0,0,(T183+V183)*R183*VLOOKUP($W$2,'Kriter Ağırlık'!$A$1:$B$8,2,1)*E183)</f>
        <v>10</v>
      </c>
      <c r="X183" s="40">
        <f>IFERROR(VLOOKUP(A183,Devamsızlıklar!A:M,13,0),1)</f>
        <v>1</v>
      </c>
      <c r="Y183" s="40">
        <f>(OEE!$K$6*VLOOKUP($Y$2,'Kriter Ağırlık'!$A$1:$B$8,2,1))*X183*E183</f>
        <v>35</v>
      </c>
      <c r="Z183" s="40">
        <f>(TELEF!$I$10*VLOOKUP($Z$2,'Kriter Ağırlık'!$A$1:$B$8,2,1))*X183*E183</f>
        <v>15</v>
      </c>
      <c r="AA183" s="40">
        <f t="shared" si="13"/>
        <v>82</v>
      </c>
      <c r="AB183" s="1">
        <v>5</v>
      </c>
      <c r="AC183" s="33">
        <f>VLOOKUP(AB183,'Kriter Ağırlık'!$A$12:$C$17,3,0)</f>
        <v>18.5</v>
      </c>
      <c r="AD183" s="1">
        <v>3</v>
      </c>
      <c r="AE183" s="33">
        <f>VLOOKUP(AD183,'Kriter Ağırlık'!$E$12:$G$24,3,0)</f>
        <v>1.1499999999999999</v>
      </c>
      <c r="AF183" s="92">
        <f t="shared" si="14"/>
        <v>1744.55</v>
      </c>
      <c r="AG183" t="str">
        <f>VLOOKUP(A183,'Çalışan Listesi'!A:G,6,0)</f>
        <v>OPERATÖR</v>
      </c>
    </row>
    <row r="184" spans="1:33" x14ac:dyDescent="0.2">
      <c r="A184" s="2">
        <v>4082</v>
      </c>
      <c r="B184" s="3" t="s">
        <v>229</v>
      </c>
      <c r="C184" s="4">
        <v>42961</v>
      </c>
      <c r="D184" s="5">
        <f t="shared" si="16"/>
        <v>90</v>
      </c>
      <c r="E184" s="6">
        <f t="shared" si="12"/>
        <v>1</v>
      </c>
      <c r="F184" s="25" t="s">
        <v>421</v>
      </c>
      <c r="G184" s="3" t="s">
        <v>86</v>
      </c>
      <c r="H184" s="106" t="str">
        <f>VLOOKUP(A184,'Çalışan Listesi'!A:G,7,0)</f>
        <v>3.KADEME</v>
      </c>
      <c r="I184" s="65">
        <f>IFERROR(VLOOKUP(A184,'Kaizen Listesi'!A:H,8,0),0)</f>
        <v>0</v>
      </c>
      <c r="J184" s="65">
        <f>I184*VLOOKUP($I$2,'Kriter Ağırlık'!$A$1:$B$8,2,0)</f>
        <v>0</v>
      </c>
      <c r="K184" s="65">
        <f>IFERROR(VLOOKUP(A184,'Hata Kartı '!A:H,8,0),0)</f>
        <v>33.333333333333336</v>
      </c>
      <c r="L184" s="65">
        <f>K184*(VLOOKUP($K$2,'Kriter Ağırlık'!$A$1:$B$8,2,0))</f>
        <v>3.3333333333333339</v>
      </c>
      <c r="M184" s="65">
        <f>IFERROR(VLOOKUP(F184,'5S'!$B$8:$E$19,4,0),0)</f>
        <v>1</v>
      </c>
      <c r="N184" s="65">
        <f>VLOOKUP(M184,'5S'!$G$8:$I$14,3,1)*VLOOKUP($M$2,'Kriter Ağırlık'!$A$1:$B$8,2,0)*E184*X184</f>
        <v>8</v>
      </c>
      <c r="O184" s="1">
        <f>IFERROR(VLOOKUP(A184,Devamsızlıklar!A:K,10,0),0)</f>
        <v>0</v>
      </c>
      <c r="P184" s="40">
        <f>VLOOKUP(O184,Aralıklar!$A$2:$C$5,3,1)*VLOOKUP($O$2,'Kriter Ağırlık'!$A$1:$B$8,2,0)*E184*X184</f>
        <v>10</v>
      </c>
      <c r="Q184" s="1">
        <f>IFERROR(VLOOKUP(A184,Devamsızlıklar!A:K,8,0),0)</f>
        <v>0</v>
      </c>
      <c r="R184" s="33">
        <f>VLOOKUP(Q184,Aralıklar!$E$2:$G$5,3,1)</f>
        <v>1</v>
      </c>
      <c r="S184" s="33">
        <f>IFERROR(VLOOKUP(A184,Devamsızlıklar!A:K,9,0),0)</f>
        <v>0</v>
      </c>
      <c r="T184" s="33">
        <f>VLOOKUP(S184,Aralıklar!$I$2:$K$6,3,1)</f>
        <v>50</v>
      </c>
      <c r="U184" s="33">
        <f>IFERROR(VLOOKUP(A184,Devamsızlıklar!A:K,11,0),0)</f>
        <v>0</v>
      </c>
      <c r="V184" s="33">
        <f>VLOOKUP(U184,Aralıklar!$M$2:$O$6,3,1)</f>
        <v>50</v>
      </c>
      <c r="W184" s="40">
        <f>IF(X184=0,0,(T184+V184)*R184*VLOOKUP($W$2,'Kriter Ağırlık'!$A$1:$B$8,2,1)*E184)</f>
        <v>10</v>
      </c>
      <c r="X184" s="40">
        <f>IFERROR(VLOOKUP(A184,Devamsızlıklar!A:M,13,0),1)</f>
        <v>1</v>
      </c>
      <c r="Y184" s="40">
        <f>(OEE!$K$6*VLOOKUP($Y$2,'Kriter Ağırlık'!$A$1:$B$8,2,1))*X184*E184</f>
        <v>35</v>
      </c>
      <c r="Z184" s="40">
        <f>(TELEF!$I$10*VLOOKUP($Z$2,'Kriter Ağırlık'!$A$1:$B$8,2,1))*X184*E184</f>
        <v>15</v>
      </c>
      <c r="AA184" s="40">
        <f t="shared" si="13"/>
        <v>81.333333333333343</v>
      </c>
      <c r="AB184" s="1">
        <v>5</v>
      </c>
      <c r="AC184" s="33">
        <f>VLOOKUP(AB184,'Kriter Ağırlık'!$A$12:$C$17,3,0)</f>
        <v>18.5</v>
      </c>
      <c r="AD184" s="106">
        <v>3</v>
      </c>
      <c r="AE184" s="33">
        <f>VLOOKUP(AD184,'Kriter Ağırlık'!$E$12:$G$24,3,0)</f>
        <v>1.1499999999999999</v>
      </c>
      <c r="AF184" s="92">
        <f t="shared" si="14"/>
        <v>1730.3666666666666</v>
      </c>
      <c r="AG184" t="str">
        <f>VLOOKUP(A184,'Çalışan Listesi'!A:G,6,0)</f>
        <v>OPERATÖR</v>
      </c>
    </row>
    <row r="185" spans="1:33" x14ac:dyDescent="0.2">
      <c r="A185" s="2">
        <v>4092</v>
      </c>
      <c r="B185" s="3" t="s">
        <v>230</v>
      </c>
      <c r="C185" s="4">
        <v>42984</v>
      </c>
      <c r="D185" s="5">
        <f t="shared" si="16"/>
        <v>90</v>
      </c>
      <c r="E185" s="6">
        <f t="shared" si="12"/>
        <v>1</v>
      </c>
      <c r="F185" s="25" t="s">
        <v>421</v>
      </c>
      <c r="G185" s="3" t="s">
        <v>86</v>
      </c>
      <c r="H185" s="106" t="str">
        <f>VLOOKUP(A185,'Çalışan Listesi'!A:G,7,0)</f>
        <v>2.KADEME</v>
      </c>
      <c r="I185" s="65">
        <f>IFERROR(VLOOKUP(A185,'Kaizen Listesi'!A:H,8,0),0)</f>
        <v>0</v>
      </c>
      <c r="J185" s="65">
        <f>I185*VLOOKUP($I$2,'Kriter Ağırlık'!$A$1:$B$8,2,0)</f>
        <v>0</v>
      </c>
      <c r="K185" s="65">
        <f>IFERROR(VLOOKUP(A185,'Hata Kartı '!A:H,8,0),0)</f>
        <v>0</v>
      </c>
      <c r="L185" s="65">
        <f>K185*(VLOOKUP($K$2,'Kriter Ağırlık'!$A$1:$B$8,2,0))</f>
        <v>0</v>
      </c>
      <c r="M185" s="65">
        <f>IFERROR(VLOOKUP(F185,'5S'!$B$8:$E$19,4,0),0)</f>
        <v>1</v>
      </c>
      <c r="N185" s="65">
        <f>VLOOKUP(M185,'5S'!$G$8:$I$14,3,1)*VLOOKUP($M$2,'Kriter Ağırlık'!$A$1:$B$8,2,0)*E185*X185</f>
        <v>8</v>
      </c>
      <c r="O185" s="1">
        <f>IFERROR(VLOOKUP(A185,Devamsızlıklar!A:K,10,0),0)</f>
        <v>0</v>
      </c>
      <c r="P185" s="40">
        <f>VLOOKUP(O185,Aralıklar!$A$2:$C$5,3,1)*VLOOKUP($O$2,'Kriter Ağırlık'!$A$1:$B$8,2,0)*E185*X185</f>
        <v>10</v>
      </c>
      <c r="Q185" s="1">
        <f>IFERROR(VLOOKUP(A185,Devamsızlıklar!A:K,8,0),0)</f>
        <v>0</v>
      </c>
      <c r="R185" s="33">
        <f>VLOOKUP(Q185,Aralıklar!$E$2:$G$5,3,1)</f>
        <v>1</v>
      </c>
      <c r="S185" s="33">
        <f>IFERROR(VLOOKUP(A185,Devamsızlıklar!A:K,9,0),0)</f>
        <v>0</v>
      </c>
      <c r="T185" s="33">
        <f>VLOOKUP(S185,Aralıklar!$I$2:$K$6,3,1)</f>
        <v>50</v>
      </c>
      <c r="U185" s="33">
        <f>IFERROR(VLOOKUP(A185,Devamsızlıklar!A:K,11,0),0)</f>
        <v>0</v>
      </c>
      <c r="V185" s="33">
        <f>VLOOKUP(U185,Aralıklar!$M$2:$O$6,3,1)</f>
        <v>50</v>
      </c>
      <c r="W185" s="40">
        <f>IF(X185=0,0,(T185+V185)*R185*VLOOKUP($W$2,'Kriter Ağırlık'!$A$1:$B$8,2,1)*E185)</f>
        <v>10</v>
      </c>
      <c r="X185" s="40">
        <f>IFERROR(VLOOKUP(A185,Devamsızlıklar!A:M,13,0),1)</f>
        <v>1</v>
      </c>
      <c r="Y185" s="40">
        <f>(OEE!$K$6*VLOOKUP($Y$2,'Kriter Ağırlık'!$A$1:$B$8,2,1))*X185*E185</f>
        <v>35</v>
      </c>
      <c r="Z185" s="40">
        <f>(TELEF!$I$10*VLOOKUP($Z$2,'Kriter Ağırlık'!$A$1:$B$8,2,1))*X185*E185</f>
        <v>15</v>
      </c>
      <c r="AA185" s="40">
        <f t="shared" si="13"/>
        <v>78</v>
      </c>
      <c r="AB185" s="1">
        <v>5</v>
      </c>
      <c r="AC185" s="33">
        <f>VLOOKUP(AB185,'Kriter Ağırlık'!$A$12:$C$17,3,0)</f>
        <v>18.5</v>
      </c>
      <c r="AD185" s="106">
        <v>4</v>
      </c>
      <c r="AE185" s="33">
        <f>VLOOKUP(AD185,'Kriter Ağırlık'!$E$12:$G$24,3,0)</f>
        <v>1.077</v>
      </c>
      <c r="AF185" s="92">
        <f t="shared" si="14"/>
        <v>1554.1109999999999</v>
      </c>
      <c r="AG185" t="str">
        <f>VLOOKUP(A185,'Çalışan Listesi'!A:G,6,0)</f>
        <v>OPERATÖR</v>
      </c>
    </row>
    <row r="186" spans="1:33" x14ac:dyDescent="0.2">
      <c r="A186" s="2">
        <v>4102</v>
      </c>
      <c r="B186" s="3" t="s">
        <v>231</v>
      </c>
      <c r="C186" s="4">
        <v>42996</v>
      </c>
      <c r="D186" s="5">
        <f t="shared" si="16"/>
        <v>90</v>
      </c>
      <c r="E186" s="6">
        <f t="shared" si="12"/>
        <v>1</v>
      </c>
      <c r="F186" s="25" t="s">
        <v>425</v>
      </c>
      <c r="G186" s="3" t="s">
        <v>24</v>
      </c>
      <c r="H186" s="106" t="str">
        <f>VLOOKUP(A186,'Çalışan Listesi'!A:G,7,0)</f>
        <v>2.KADEME</v>
      </c>
      <c r="I186" s="65">
        <f>IFERROR(VLOOKUP(A186,'Kaizen Listesi'!A:H,8,0),0)</f>
        <v>0</v>
      </c>
      <c r="J186" s="65">
        <f>I186*VLOOKUP($I$2,'Kriter Ağırlık'!$A$1:$B$8,2,0)</f>
        <v>0</v>
      </c>
      <c r="K186" s="65">
        <f>IFERROR(VLOOKUP(A186,'Hata Kartı '!A:H,8,0),0)</f>
        <v>50</v>
      </c>
      <c r="L186" s="65">
        <f>K186*(VLOOKUP($K$2,'Kriter Ağırlık'!$A$1:$B$8,2,0))</f>
        <v>5</v>
      </c>
      <c r="M186" s="65">
        <f>IFERROR(VLOOKUP(F186,'5S'!$B$8:$E$19,4,0),0)</f>
        <v>1</v>
      </c>
      <c r="N186" s="65">
        <f>VLOOKUP(M186,'5S'!$G$8:$I$14,3,1)*VLOOKUP($M$2,'Kriter Ağırlık'!$A$1:$B$8,2,0)*E186*X186</f>
        <v>7.9111111111111114</v>
      </c>
      <c r="O186" s="1">
        <f>IFERROR(VLOOKUP(A186,Devamsızlıklar!A:K,10,0),0)</f>
        <v>0</v>
      </c>
      <c r="P186" s="40">
        <f>VLOOKUP(O186,Aralıklar!$A$2:$C$5,3,1)*VLOOKUP($O$2,'Kriter Ağırlık'!$A$1:$B$8,2,0)*E186*X186</f>
        <v>9.8888888888888893</v>
      </c>
      <c r="Q186" s="1">
        <f>IFERROR(VLOOKUP(A186,Devamsızlıklar!A:K,8,0),0)</f>
        <v>0</v>
      </c>
      <c r="R186" s="33">
        <f>VLOOKUP(Q186,Aralıklar!$E$2:$G$5,3,1)</f>
        <v>1</v>
      </c>
      <c r="S186" s="33">
        <f>IFERROR(VLOOKUP(A186,Devamsızlıklar!A:K,9,0),0)</f>
        <v>1</v>
      </c>
      <c r="T186" s="33">
        <f>VLOOKUP(S186,Aralıklar!$I$2:$K$6,3,1)</f>
        <v>50</v>
      </c>
      <c r="U186" s="33">
        <f>IFERROR(VLOOKUP(A186,Devamsızlıklar!A:K,11,0),0)</f>
        <v>0</v>
      </c>
      <c r="V186" s="33">
        <f>VLOOKUP(U186,Aralıklar!$M$2:$O$6,3,1)</f>
        <v>50</v>
      </c>
      <c r="W186" s="40">
        <f>IF(X186=0,0,(T186+V186)*R186*VLOOKUP($W$2,'Kriter Ağırlık'!$A$1:$B$8,2,1)*E186)</f>
        <v>10</v>
      </c>
      <c r="X186" s="40">
        <f>IFERROR(VLOOKUP(A186,Devamsızlıklar!A:M,13,0),1)</f>
        <v>0.98888888888888893</v>
      </c>
      <c r="Y186" s="40">
        <f>(OEE!$K$6*VLOOKUP($Y$2,'Kriter Ağırlık'!$A$1:$B$8,2,1))*X186*E186</f>
        <v>34.611111111111114</v>
      </c>
      <c r="Z186" s="40">
        <f>(TELEF!$I$10*VLOOKUP($Z$2,'Kriter Ağırlık'!$A$1:$B$8,2,1))*X186*E186</f>
        <v>14.833333333333334</v>
      </c>
      <c r="AA186" s="40">
        <f t="shared" si="13"/>
        <v>82.24444444444444</v>
      </c>
      <c r="AB186" s="1">
        <v>5</v>
      </c>
      <c r="AC186" s="33">
        <f>VLOOKUP(AB186,'Kriter Ağırlık'!$A$12:$C$17,3,0)</f>
        <v>18.5</v>
      </c>
      <c r="AD186" s="1">
        <v>11</v>
      </c>
      <c r="AE186" s="33">
        <f>VLOOKUP(AD186,'Kriter Ağırlık'!$E$12:$G$24,3,0)</f>
        <v>1.157</v>
      </c>
      <c r="AF186" s="92">
        <f t="shared" si="14"/>
        <v>1760.401211111111</v>
      </c>
      <c r="AG186" t="str">
        <f>VLOOKUP(A186,'Çalışan Listesi'!A:G,6,0)</f>
        <v>TEKNİSYEN</v>
      </c>
    </row>
    <row r="187" spans="1:33" x14ac:dyDescent="0.2">
      <c r="A187" s="2">
        <v>4111</v>
      </c>
      <c r="B187" s="3" t="s">
        <v>232</v>
      </c>
      <c r="C187" s="4">
        <v>43024</v>
      </c>
      <c r="D187" s="5">
        <f t="shared" ref="D187:D218" si="17">IF($AI$2-C187&gt;=90,90,$AI$2-C187)</f>
        <v>90</v>
      </c>
      <c r="E187" s="6">
        <f t="shared" si="12"/>
        <v>1</v>
      </c>
      <c r="F187" s="25" t="s">
        <v>421</v>
      </c>
      <c r="G187" s="3" t="s">
        <v>86</v>
      </c>
      <c r="H187" s="106" t="str">
        <f>VLOOKUP(A187,'Çalışan Listesi'!A:G,7,0)</f>
        <v>2.KADEME</v>
      </c>
      <c r="I187" s="65">
        <f>IFERROR(VLOOKUP(A187,'Kaizen Listesi'!A:H,8,0),0)</f>
        <v>0</v>
      </c>
      <c r="J187" s="65">
        <f>I187*VLOOKUP($I$2,'Kriter Ağırlık'!$A$1:$B$8,2,0)</f>
        <v>0</v>
      </c>
      <c r="K187" s="65">
        <f>IFERROR(VLOOKUP(A187,'Hata Kartı '!A:H,8,0),0)</f>
        <v>33.333333333333336</v>
      </c>
      <c r="L187" s="65">
        <f>K187*(VLOOKUP($K$2,'Kriter Ağırlık'!$A$1:$B$8,2,0))</f>
        <v>3.3333333333333339</v>
      </c>
      <c r="M187" s="65">
        <f>IFERROR(VLOOKUP(F187,'5S'!$B$8:$E$19,4,0),0)</f>
        <v>1</v>
      </c>
      <c r="N187" s="65">
        <f>VLOOKUP(M187,'5S'!$G$8:$I$14,3,1)*VLOOKUP($M$2,'Kriter Ağırlık'!$A$1:$B$8,2,0)*E187*X187</f>
        <v>6.666666666666667</v>
      </c>
      <c r="O187" s="1">
        <f>IFERROR(VLOOKUP(A187,Devamsızlıklar!A:K,10,0),0)</f>
        <v>0</v>
      </c>
      <c r="P187" s="40">
        <f>VLOOKUP(O187,Aralıklar!$A$2:$C$5,3,1)*VLOOKUP($O$2,'Kriter Ağırlık'!$A$1:$B$8,2,0)*E187*X187</f>
        <v>8.3333333333333339</v>
      </c>
      <c r="Q187" s="1">
        <f>IFERROR(VLOOKUP(A187,Devamsızlıklar!A:K,8,0),0)</f>
        <v>0</v>
      </c>
      <c r="R187" s="33">
        <f>VLOOKUP(Q187,Aralıklar!$E$2:$G$5,3,1)</f>
        <v>1</v>
      </c>
      <c r="S187" s="33">
        <f>IFERROR(VLOOKUP(A187,Devamsızlıklar!A:K,9,0),0)</f>
        <v>15</v>
      </c>
      <c r="T187" s="33">
        <f>VLOOKUP(S187,Aralıklar!$I$2:$K$6,3,1)</f>
        <v>0</v>
      </c>
      <c r="U187" s="33">
        <f>IFERROR(VLOOKUP(A187,Devamsızlıklar!A:K,11,0),0)</f>
        <v>0</v>
      </c>
      <c r="V187" s="33">
        <f>VLOOKUP(U187,Aralıklar!$M$2:$O$6,3,1)</f>
        <v>50</v>
      </c>
      <c r="W187" s="40">
        <f>IF(X187=0,0,(T187+V187)*R187*VLOOKUP($W$2,'Kriter Ağırlık'!$A$1:$B$8,2,1)*E187)</f>
        <v>5</v>
      </c>
      <c r="X187" s="40">
        <f>IFERROR(VLOOKUP(A187,Devamsızlıklar!A:M,13,0),1)</f>
        <v>0.83333333333333337</v>
      </c>
      <c r="Y187" s="40">
        <f>(OEE!$K$6*VLOOKUP($Y$2,'Kriter Ağırlık'!$A$1:$B$8,2,1))*X187*E187</f>
        <v>29.166666666666668</v>
      </c>
      <c r="Z187" s="40">
        <f>(TELEF!$I$10*VLOOKUP($Z$2,'Kriter Ağırlık'!$A$1:$B$8,2,1))*X187*E187</f>
        <v>12.5</v>
      </c>
      <c r="AA187" s="40">
        <f t="shared" si="13"/>
        <v>65</v>
      </c>
      <c r="AB187" s="1">
        <v>5</v>
      </c>
      <c r="AC187" s="33">
        <f>VLOOKUP(AB187,'Kriter Ağırlık'!$A$12:$C$17,3,0)</f>
        <v>18.5</v>
      </c>
      <c r="AD187" s="106">
        <v>4</v>
      </c>
      <c r="AE187" s="33">
        <f>VLOOKUP(AD187,'Kriter Ağırlık'!$E$12:$G$24,3,0)</f>
        <v>1.077</v>
      </c>
      <c r="AF187" s="92">
        <f t="shared" si="14"/>
        <v>1295.0925</v>
      </c>
      <c r="AG187" t="str">
        <f>VLOOKUP(A187,'Çalışan Listesi'!A:G,6,0)</f>
        <v>OPERATÖR</v>
      </c>
    </row>
    <row r="188" spans="1:33" x14ac:dyDescent="0.2">
      <c r="A188" s="2">
        <v>4119</v>
      </c>
      <c r="B188" s="3" t="s">
        <v>233</v>
      </c>
      <c r="C188" s="4">
        <v>43031</v>
      </c>
      <c r="D188" s="5">
        <f t="shared" si="17"/>
        <v>90</v>
      </c>
      <c r="E188" s="6">
        <f t="shared" si="12"/>
        <v>1</v>
      </c>
      <c r="F188" s="25" t="s">
        <v>430</v>
      </c>
      <c r="G188" s="3" t="s">
        <v>7</v>
      </c>
      <c r="H188" s="106" t="str">
        <f>VLOOKUP(A188,'Çalışan Listesi'!A:G,7,0)</f>
        <v>1.KADEME</v>
      </c>
      <c r="I188" s="65">
        <f>IFERROR(VLOOKUP(A188,'Kaizen Listesi'!A:H,8,0),0)</f>
        <v>0</v>
      </c>
      <c r="J188" s="65">
        <f>I188*VLOOKUP($I$2,'Kriter Ağırlık'!$A$1:$B$8,2,0)</f>
        <v>0</v>
      </c>
      <c r="K188" s="65">
        <f>IFERROR(VLOOKUP(A188,'Hata Kartı '!A:H,8,0),0)</f>
        <v>0</v>
      </c>
      <c r="L188" s="65">
        <f>K188*(VLOOKUP($K$2,'Kriter Ağırlık'!$A$1:$B$8,2,0))</f>
        <v>0</v>
      </c>
      <c r="M188" s="65">
        <f>IFERROR(VLOOKUP(F188,'5S'!$B$8:$E$19,4,0),0)</f>
        <v>1</v>
      </c>
      <c r="N188" s="65">
        <f>VLOOKUP(M188,'5S'!$G$8:$I$14,3,1)*VLOOKUP($M$2,'Kriter Ağırlık'!$A$1:$B$8,2,0)*E188*X188</f>
        <v>7.6444444444444448</v>
      </c>
      <c r="O188" s="1">
        <f>IFERROR(VLOOKUP(A188,Devamsızlıklar!A:K,10,0),0)</f>
        <v>0</v>
      </c>
      <c r="P188" s="40">
        <f>VLOOKUP(O188,Aralıklar!$A$2:$C$5,3,1)*VLOOKUP($O$2,'Kriter Ağırlık'!$A$1:$B$8,2,0)*E188*X188</f>
        <v>9.5555555555555554</v>
      </c>
      <c r="Q188" s="1">
        <f>IFERROR(VLOOKUP(A188,Devamsızlıklar!A:K,8,0),0)</f>
        <v>0</v>
      </c>
      <c r="R188" s="33">
        <f>VLOOKUP(Q188,Aralıklar!$E$2:$G$5,3,1)</f>
        <v>1</v>
      </c>
      <c r="S188" s="33">
        <f>IFERROR(VLOOKUP(A188,Devamsızlıklar!A:K,9,0),0)</f>
        <v>4</v>
      </c>
      <c r="T188" s="33">
        <f>VLOOKUP(S188,Aralıklar!$I$2:$K$6,3,1)</f>
        <v>25</v>
      </c>
      <c r="U188" s="33">
        <f>IFERROR(VLOOKUP(A188,Devamsızlıklar!A:K,11,0),0)</f>
        <v>0</v>
      </c>
      <c r="V188" s="33">
        <f>VLOOKUP(U188,Aralıklar!$M$2:$O$6,3,1)</f>
        <v>50</v>
      </c>
      <c r="W188" s="40">
        <f>IF(X188=0,0,(T188+V188)*R188*VLOOKUP($W$2,'Kriter Ağırlık'!$A$1:$B$8,2,1)*E188)</f>
        <v>7.5</v>
      </c>
      <c r="X188" s="40">
        <f>IFERROR(VLOOKUP(A188,Devamsızlıklar!A:M,13,0),1)</f>
        <v>0.9555555555555556</v>
      </c>
      <c r="Y188" s="40">
        <f>(OEE!$K$6*VLOOKUP($Y$2,'Kriter Ağırlık'!$A$1:$B$8,2,1))*X188*E188</f>
        <v>33.444444444444443</v>
      </c>
      <c r="Z188" s="40">
        <f>(TELEF!$I$10*VLOOKUP($Z$2,'Kriter Ağırlık'!$A$1:$B$8,2,1))*X188*E188</f>
        <v>14.333333333333334</v>
      </c>
      <c r="AA188" s="40">
        <f t="shared" si="13"/>
        <v>72.477777777777774</v>
      </c>
      <c r="AB188" s="1">
        <v>5</v>
      </c>
      <c r="AC188" s="33">
        <f>VLOOKUP(AB188,'Kriter Ağırlık'!$A$12:$C$17,3,0)</f>
        <v>18.5</v>
      </c>
      <c r="AD188" s="1">
        <v>5</v>
      </c>
      <c r="AE188" s="33">
        <f>VLOOKUP(AD188,'Kriter Ağırlık'!$E$12:$G$24,3,0)</f>
        <v>1</v>
      </c>
      <c r="AF188" s="92">
        <f t="shared" si="14"/>
        <v>1340.8388888888887</v>
      </c>
      <c r="AG188" t="str">
        <f>VLOOKUP(A188,'Çalışan Listesi'!A:G,6,0)</f>
        <v>OPERATÖR</v>
      </c>
    </row>
    <row r="189" spans="1:33" x14ac:dyDescent="0.2">
      <c r="A189" s="2">
        <v>4121</v>
      </c>
      <c r="B189" s="3" t="s">
        <v>234</v>
      </c>
      <c r="C189" s="4">
        <v>43031</v>
      </c>
      <c r="D189" s="5">
        <f t="shared" si="17"/>
        <v>90</v>
      </c>
      <c r="E189" s="6">
        <f t="shared" si="12"/>
        <v>1</v>
      </c>
      <c r="F189" s="25" t="s">
        <v>423</v>
      </c>
      <c r="G189" s="3" t="s">
        <v>95</v>
      </c>
      <c r="H189" s="106" t="str">
        <f>VLOOKUP(A189,'Çalışan Listesi'!A:G,7,0)</f>
        <v>2.KADEME</v>
      </c>
      <c r="I189" s="65">
        <f>IFERROR(VLOOKUP(A189,'Kaizen Listesi'!A:H,8,0),0)</f>
        <v>0</v>
      </c>
      <c r="J189" s="65">
        <f>I189*VLOOKUP($I$2,'Kriter Ağırlık'!$A$1:$B$8,2,0)</f>
        <v>0</v>
      </c>
      <c r="K189" s="65">
        <f>IFERROR(VLOOKUP(A189,'Hata Kartı '!A:H,8,0),0)</f>
        <v>50</v>
      </c>
      <c r="L189" s="65">
        <f>K189*(VLOOKUP($K$2,'Kriter Ağırlık'!$A$1:$B$8,2,0))</f>
        <v>5</v>
      </c>
      <c r="M189" s="65">
        <f>IFERROR(VLOOKUP(F189,'5S'!$B$8:$E$19,4,0),0)</f>
        <v>1</v>
      </c>
      <c r="N189" s="65">
        <f>VLOOKUP(M189,'5S'!$G$8:$I$14,3,1)*VLOOKUP($M$2,'Kriter Ağırlık'!$A$1:$B$8,2,0)*E189*X189</f>
        <v>8</v>
      </c>
      <c r="O189" s="1">
        <f>IFERROR(VLOOKUP(A189,Devamsızlıklar!A:K,10,0),0)</f>
        <v>0</v>
      </c>
      <c r="P189" s="40">
        <f>VLOOKUP(O189,Aralıklar!$A$2:$C$5,3,1)*VLOOKUP($O$2,'Kriter Ağırlık'!$A$1:$B$8,2,0)*E189*X189</f>
        <v>10</v>
      </c>
      <c r="Q189" s="1">
        <f>IFERROR(VLOOKUP(A189,Devamsızlıklar!A:K,8,0),0)</f>
        <v>0</v>
      </c>
      <c r="R189" s="33">
        <f>VLOOKUP(Q189,Aralıklar!$E$2:$G$5,3,1)</f>
        <v>1</v>
      </c>
      <c r="S189" s="33">
        <f>IFERROR(VLOOKUP(A189,Devamsızlıklar!A:K,9,0),0)</f>
        <v>0</v>
      </c>
      <c r="T189" s="33">
        <f>VLOOKUP(S189,Aralıklar!$I$2:$K$6,3,1)</f>
        <v>50</v>
      </c>
      <c r="U189" s="33">
        <f>IFERROR(VLOOKUP(A189,Devamsızlıklar!A:K,11,0),0)</f>
        <v>0</v>
      </c>
      <c r="V189" s="33">
        <f>VLOOKUP(U189,Aralıklar!$M$2:$O$6,3,1)</f>
        <v>50</v>
      </c>
      <c r="W189" s="40">
        <f>IF(X189=0,0,(T189+V189)*R189*VLOOKUP($W$2,'Kriter Ağırlık'!$A$1:$B$8,2,1)*E189)</f>
        <v>10</v>
      </c>
      <c r="X189" s="40">
        <f>IFERROR(VLOOKUP(A189,Devamsızlıklar!A:M,13,0),1)</f>
        <v>1</v>
      </c>
      <c r="Y189" s="40">
        <f>(OEE!$K$6*VLOOKUP($Y$2,'Kriter Ağırlık'!$A$1:$B$8,2,1))*X189*E189</f>
        <v>35</v>
      </c>
      <c r="Z189" s="40">
        <f>(TELEF!$I$10*VLOOKUP($Z$2,'Kriter Ağırlık'!$A$1:$B$8,2,1))*X189*E189</f>
        <v>15</v>
      </c>
      <c r="AA189" s="40">
        <f t="shared" si="13"/>
        <v>83</v>
      </c>
      <c r="AB189" s="1">
        <v>5</v>
      </c>
      <c r="AC189" s="33">
        <f>VLOOKUP(AB189,'Kriter Ağırlık'!$A$12:$C$17,3,0)</f>
        <v>18.5</v>
      </c>
      <c r="AD189" s="1">
        <v>8</v>
      </c>
      <c r="AE189" s="33">
        <f>VLOOKUP(AD189,'Kriter Ağırlık'!$E$12:$G$24,3,0)</f>
        <v>1</v>
      </c>
      <c r="AF189" s="92">
        <f t="shared" si="14"/>
        <v>1535.5</v>
      </c>
      <c r="AG189" t="str">
        <f>VLOOKUP(A189,'Çalışan Listesi'!A:G,6,0)</f>
        <v>TEKNİSYEN</v>
      </c>
    </row>
    <row r="190" spans="1:33" x14ac:dyDescent="0.2">
      <c r="A190" s="2">
        <v>4122</v>
      </c>
      <c r="B190" s="3" t="s">
        <v>235</v>
      </c>
      <c r="C190" s="4">
        <v>43031</v>
      </c>
      <c r="D190" s="5">
        <f t="shared" si="17"/>
        <v>90</v>
      </c>
      <c r="E190" s="6">
        <f t="shared" si="12"/>
        <v>1</v>
      </c>
      <c r="F190" s="25" t="s">
        <v>421</v>
      </c>
      <c r="G190" s="3" t="s">
        <v>86</v>
      </c>
      <c r="H190" s="106" t="str">
        <f>VLOOKUP(A190,'Çalışan Listesi'!A:G,7,0)</f>
        <v>3.KADEME</v>
      </c>
      <c r="I190" s="65">
        <f>IFERROR(VLOOKUP(A190,'Kaizen Listesi'!A:H,8,0),0)</f>
        <v>33.333333333333336</v>
      </c>
      <c r="J190" s="65">
        <f>I190*VLOOKUP($I$2,'Kriter Ağırlık'!$A$1:$B$8,2,0)</f>
        <v>4</v>
      </c>
      <c r="K190" s="65">
        <f>IFERROR(VLOOKUP(A190,'Hata Kartı '!A:H,8,0),0)</f>
        <v>33.333333333333336</v>
      </c>
      <c r="L190" s="65">
        <f>K190*(VLOOKUP($K$2,'Kriter Ağırlık'!$A$1:$B$8,2,0))</f>
        <v>3.3333333333333339</v>
      </c>
      <c r="M190" s="65">
        <f>IFERROR(VLOOKUP(F190,'5S'!$B$8:$E$19,4,0),0)</f>
        <v>1</v>
      </c>
      <c r="N190" s="65">
        <f>VLOOKUP(M190,'5S'!$G$8:$I$14,3,1)*VLOOKUP($M$2,'Kriter Ağırlık'!$A$1:$B$8,2,0)*E190*X190</f>
        <v>8</v>
      </c>
      <c r="O190" s="1">
        <f>IFERROR(VLOOKUP(A190,Devamsızlıklar!A:K,10,0),0)</f>
        <v>0</v>
      </c>
      <c r="P190" s="40">
        <f>VLOOKUP(O190,Aralıklar!$A$2:$C$5,3,1)*VLOOKUP($O$2,'Kriter Ağırlık'!$A$1:$B$8,2,0)*E190*X190</f>
        <v>10</v>
      </c>
      <c r="Q190" s="1">
        <f>IFERROR(VLOOKUP(A190,Devamsızlıklar!A:K,8,0),0)</f>
        <v>0</v>
      </c>
      <c r="R190" s="33">
        <f>VLOOKUP(Q190,Aralıklar!$E$2:$G$5,3,1)</f>
        <v>1</v>
      </c>
      <c r="S190" s="33">
        <f>IFERROR(VLOOKUP(A190,Devamsızlıklar!A:K,9,0),0)</f>
        <v>0</v>
      </c>
      <c r="T190" s="33">
        <f>VLOOKUP(S190,Aralıklar!$I$2:$K$6,3,1)</f>
        <v>50</v>
      </c>
      <c r="U190" s="33">
        <f>IFERROR(VLOOKUP(A190,Devamsızlıklar!A:K,11,0),0)</f>
        <v>0</v>
      </c>
      <c r="V190" s="33">
        <f>VLOOKUP(U190,Aralıklar!$M$2:$O$6,3,1)</f>
        <v>50</v>
      </c>
      <c r="W190" s="40">
        <f>IF(X190=0,0,(T190+V190)*R190*VLOOKUP($W$2,'Kriter Ağırlık'!$A$1:$B$8,2,1)*E190)</f>
        <v>10</v>
      </c>
      <c r="X190" s="40">
        <f>IFERROR(VLOOKUP(A190,Devamsızlıklar!A:M,13,0),1)</f>
        <v>1</v>
      </c>
      <c r="Y190" s="40">
        <f>(OEE!$K$6*VLOOKUP($Y$2,'Kriter Ağırlık'!$A$1:$B$8,2,1))*X190*E190</f>
        <v>35</v>
      </c>
      <c r="Z190" s="40">
        <f>(TELEF!$I$10*VLOOKUP($Z$2,'Kriter Ağırlık'!$A$1:$B$8,2,1))*X190*E190</f>
        <v>15</v>
      </c>
      <c r="AA190" s="40">
        <f t="shared" si="13"/>
        <v>85.333333333333343</v>
      </c>
      <c r="AB190" s="1">
        <v>5</v>
      </c>
      <c r="AC190" s="33">
        <f>VLOOKUP(AB190,'Kriter Ağırlık'!$A$12:$C$17,3,0)</f>
        <v>18.5</v>
      </c>
      <c r="AD190" s="1">
        <v>3</v>
      </c>
      <c r="AE190" s="33">
        <f>VLOOKUP(AD190,'Kriter Ağırlık'!$E$12:$G$24,3,0)</f>
        <v>1.1499999999999999</v>
      </c>
      <c r="AF190" s="92">
        <f t="shared" si="14"/>
        <v>1815.4666666666667</v>
      </c>
      <c r="AG190" t="str">
        <f>VLOOKUP(A190,'Çalışan Listesi'!A:G,6,0)</f>
        <v>OPERATÖR</v>
      </c>
    </row>
    <row r="191" spans="1:33" x14ac:dyDescent="0.2">
      <c r="A191" s="2">
        <v>4128</v>
      </c>
      <c r="B191" s="3" t="s">
        <v>236</v>
      </c>
      <c r="C191" s="4">
        <v>43038</v>
      </c>
      <c r="D191" s="5">
        <f t="shared" si="17"/>
        <v>90</v>
      </c>
      <c r="E191" s="6">
        <f t="shared" si="12"/>
        <v>1</v>
      </c>
      <c r="F191" s="25" t="s">
        <v>421</v>
      </c>
      <c r="G191" s="3" t="s">
        <v>86</v>
      </c>
      <c r="H191" s="106" t="str">
        <f>VLOOKUP(A191,'Çalışan Listesi'!A:G,7,0)</f>
        <v>3.KADEME</v>
      </c>
      <c r="I191" s="65">
        <f>IFERROR(VLOOKUP(A191,'Kaizen Listesi'!A:H,8,0),0)</f>
        <v>0</v>
      </c>
      <c r="J191" s="65">
        <f>I191*VLOOKUP($I$2,'Kriter Ağırlık'!$A$1:$B$8,2,0)</f>
        <v>0</v>
      </c>
      <c r="K191" s="65">
        <f>IFERROR(VLOOKUP(A191,'Hata Kartı '!A:H,8,0),0)</f>
        <v>66.666666666666671</v>
      </c>
      <c r="L191" s="65">
        <f>K191*(VLOOKUP($K$2,'Kriter Ağırlık'!$A$1:$B$8,2,0))</f>
        <v>6.6666666666666679</v>
      </c>
      <c r="M191" s="65">
        <f>IFERROR(VLOOKUP(F191,'5S'!$B$8:$E$19,4,0),0)</f>
        <v>1</v>
      </c>
      <c r="N191" s="65">
        <f>VLOOKUP(M191,'5S'!$G$8:$I$14,3,1)*VLOOKUP($M$2,'Kriter Ağırlık'!$A$1:$B$8,2,0)*E191*X191</f>
        <v>8</v>
      </c>
      <c r="O191" s="1">
        <f>IFERROR(VLOOKUP(A191,Devamsızlıklar!A:K,10,0),0)</f>
        <v>0</v>
      </c>
      <c r="P191" s="40">
        <f>VLOOKUP(O191,Aralıklar!$A$2:$C$5,3,1)*VLOOKUP($O$2,'Kriter Ağırlık'!$A$1:$B$8,2,0)*E191*X191</f>
        <v>10</v>
      </c>
      <c r="Q191" s="1">
        <f>IFERROR(VLOOKUP(A191,Devamsızlıklar!A:K,8,0),0)</f>
        <v>0</v>
      </c>
      <c r="R191" s="33">
        <f>VLOOKUP(Q191,Aralıklar!$E$2:$G$5,3,1)</f>
        <v>1</v>
      </c>
      <c r="S191" s="33">
        <f>IFERROR(VLOOKUP(A191,Devamsızlıklar!A:K,9,0),0)</f>
        <v>0</v>
      </c>
      <c r="T191" s="33">
        <f>VLOOKUP(S191,Aralıklar!$I$2:$K$6,3,1)</f>
        <v>50</v>
      </c>
      <c r="U191" s="33">
        <f>IFERROR(VLOOKUP(A191,Devamsızlıklar!A:K,11,0),0)</f>
        <v>0</v>
      </c>
      <c r="V191" s="33">
        <f>VLOOKUP(U191,Aralıklar!$M$2:$O$6,3,1)</f>
        <v>50</v>
      </c>
      <c r="W191" s="40">
        <f>IF(X191=0,0,(T191+V191)*R191*VLOOKUP($W$2,'Kriter Ağırlık'!$A$1:$B$8,2,1)*E191)</f>
        <v>10</v>
      </c>
      <c r="X191" s="40">
        <f>IFERROR(VLOOKUP(A191,Devamsızlıklar!A:M,13,0),1)</f>
        <v>1</v>
      </c>
      <c r="Y191" s="40">
        <f>(OEE!$K$6*VLOOKUP($Y$2,'Kriter Ağırlık'!$A$1:$B$8,2,1))*X191*E191</f>
        <v>35</v>
      </c>
      <c r="Z191" s="40">
        <f>(TELEF!$I$10*VLOOKUP($Z$2,'Kriter Ağırlık'!$A$1:$B$8,2,1))*X191*E191</f>
        <v>15</v>
      </c>
      <c r="AA191" s="40">
        <f t="shared" si="13"/>
        <v>84.666666666666671</v>
      </c>
      <c r="AB191" s="1">
        <v>5</v>
      </c>
      <c r="AC191" s="33">
        <f>VLOOKUP(AB191,'Kriter Ağırlık'!$A$12:$C$17,3,0)</f>
        <v>18.5</v>
      </c>
      <c r="AD191" s="1">
        <v>3</v>
      </c>
      <c r="AE191" s="33">
        <f>VLOOKUP(AD191,'Kriter Ağırlık'!$E$12:$G$24,3,0)</f>
        <v>1.1499999999999999</v>
      </c>
      <c r="AF191" s="92">
        <f t="shared" si="14"/>
        <v>1801.2833333333333</v>
      </c>
      <c r="AG191" t="str">
        <f>VLOOKUP(A191,'Çalışan Listesi'!A:G,6,0)</f>
        <v>OPERATÖR</v>
      </c>
    </row>
    <row r="192" spans="1:33" x14ac:dyDescent="0.2">
      <c r="A192" s="2">
        <v>4139</v>
      </c>
      <c r="B192" s="3" t="s">
        <v>237</v>
      </c>
      <c r="C192" s="4">
        <v>43045</v>
      </c>
      <c r="D192" s="5">
        <f t="shared" si="17"/>
        <v>90</v>
      </c>
      <c r="E192" s="6">
        <f t="shared" si="12"/>
        <v>1</v>
      </c>
      <c r="F192" s="25" t="s">
        <v>423</v>
      </c>
      <c r="G192" s="3" t="s">
        <v>102</v>
      </c>
      <c r="H192" s="106" t="str">
        <f>VLOOKUP(A192,'Çalışan Listesi'!A:G,7,0)</f>
        <v>3.KADEME</v>
      </c>
      <c r="I192" s="65">
        <f>IFERROR(VLOOKUP(A192,'Kaizen Listesi'!A:H,8,0),0)</f>
        <v>0</v>
      </c>
      <c r="J192" s="65">
        <f>I192*VLOOKUP($I$2,'Kriter Ağırlık'!$A$1:$B$8,2,0)</f>
        <v>0</v>
      </c>
      <c r="K192" s="65">
        <f>IFERROR(VLOOKUP(A192,'Hata Kartı '!A:H,8,0),0)</f>
        <v>66.666666666666671</v>
      </c>
      <c r="L192" s="65">
        <f>K192*(VLOOKUP($K$2,'Kriter Ağırlık'!$A$1:$B$8,2,0))</f>
        <v>6.6666666666666679</v>
      </c>
      <c r="M192" s="65">
        <f>IFERROR(VLOOKUP(F192,'5S'!$B$8:$E$19,4,0),0)</f>
        <v>1</v>
      </c>
      <c r="N192" s="65">
        <f>VLOOKUP(M192,'5S'!$G$8:$I$14,3,1)*VLOOKUP($M$2,'Kriter Ağırlık'!$A$1:$B$8,2,0)*E192*X192</f>
        <v>8</v>
      </c>
      <c r="O192" s="1">
        <f>IFERROR(VLOOKUP(A192,Devamsızlıklar!A:K,10,0),0)</f>
        <v>0</v>
      </c>
      <c r="P192" s="40">
        <f>VLOOKUP(O192,Aralıklar!$A$2:$C$5,3,1)*VLOOKUP($O$2,'Kriter Ağırlık'!$A$1:$B$8,2,0)*E192*X192</f>
        <v>10</v>
      </c>
      <c r="Q192" s="1">
        <f>IFERROR(VLOOKUP(A192,Devamsızlıklar!A:K,8,0),0)</f>
        <v>0</v>
      </c>
      <c r="R192" s="33">
        <f>VLOOKUP(Q192,Aralıklar!$E$2:$G$5,3,1)</f>
        <v>1</v>
      </c>
      <c r="S192" s="33">
        <f>IFERROR(VLOOKUP(A192,Devamsızlıklar!A:K,9,0),0)</f>
        <v>0</v>
      </c>
      <c r="T192" s="33">
        <f>VLOOKUP(S192,Aralıklar!$I$2:$K$6,3,1)</f>
        <v>50</v>
      </c>
      <c r="U192" s="33">
        <f>IFERROR(VLOOKUP(A192,Devamsızlıklar!A:K,11,0),0)</f>
        <v>0</v>
      </c>
      <c r="V192" s="33">
        <f>VLOOKUP(U192,Aralıklar!$M$2:$O$6,3,1)</f>
        <v>50</v>
      </c>
      <c r="W192" s="40">
        <f>IF(X192=0,0,(T192+V192)*R192*VLOOKUP($W$2,'Kriter Ağırlık'!$A$1:$B$8,2,1)*E192)</f>
        <v>10</v>
      </c>
      <c r="X192" s="40">
        <f>IFERROR(VLOOKUP(A192,Devamsızlıklar!A:M,13,0),1)</f>
        <v>1</v>
      </c>
      <c r="Y192" s="40">
        <f>(OEE!$K$6*VLOOKUP($Y$2,'Kriter Ağırlık'!$A$1:$B$8,2,1))*X192*E192</f>
        <v>35</v>
      </c>
      <c r="Z192" s="40">
        <f>(TELEF!$I$10*VLOOKUP($Z$2,'Kriter Ağırlık'!$A$1:$B$8,2,1))*X192*E192</f>
        <v>15</v>
      </c>
      <c r="AA192" s="40">
        <f t="shared" si="13"/>
        <v>84.666666666666671</v>
      </c>
      <c r="AB192" s="1">
        <v>5</v>
      </c>
      <c r="AC192" s="33">
        <f>VLOOKUP(AB192,'Kriter Ağırlık'!$A$12:$C$17,3,0)</f>
        <v>18.5</v>
      </c>
      <c r="AD192" s="1">
        <v>7</v>
      </c>
      <c r="AE192" s="33">
        <f>VLOOKUP(AD192,'Kriter Ağırlık'!$E$12:$G$24,3,0)</f>
        <v>1.19</v>
      </c>
      <c r="AF192" s="92">
        <f t="shared" si="14"/>
        <v>1863.9366666666667</v>
      </c>
      <c r="AG192" t="str">
        <f>VLOOKUP(A192,'Çalışan Listesi'!A:G,6,0)</f>
        <v>TEKNİSYEN</v>
      </c>
    </row>
    <row r="193" spans="1:33" x14ac:dyDescent="0.2">
      <c r="A193" s="2">
        <v>4165</v>
      </c>
      <c r="B193" s="3" t="s">
        <v>238</v>
      </c>
      <c r="C193" s="4">
        <v>43224</v>
      </c>
      <c r="D193" s="5">
        <f t="shared" si="17"/>
        <v>90</v>
      </c>
      <c r="E193" s="6">
        <f t="shared" si="12"/>
        <v>1</v>
      </c>
      <c r="F193" s="25" t="s">
        <v>427</v>
      </c>
      <c r="G193" s="3" t="s">
        <v>239</v>
      </c>
      <c r="H193" s="106" t="str">
        <f>VLOOKUP(A193,'Çalışan Listesi'!A:G,7,0)</f>
        <v>2.KADEME</v>
      </c>
      <c r="I193" s="65">
        <f>IFERROR(VLOOKUP(A193,'Kaizen Listesi'!A:H,8,0),0)</f>
        <v>0</v>
      </c>
      <c r="J193" s="65">
        <f>I193*VLOOKUP($I$2,'Kriter Ağırlık'!$A$1:$B$8,2,0)</f>
        <v>0</v>
      </c>
      <c r="K193" s="65">
        <f>IFERROR(VLOOKUP(A193,'Hata Kartı '!A:H,8,0),0)</f>
        <v>0</v>
      </c>
      <c r="L193" s="65">
        <f>K193*(VLOOKUP($K$2,'Kriter Ağırlık'!$A$1:$B$8,2,0))</f>
        <v>0</v>
      </c>
      <c r="M193" s="65">
        <f>IFERROR(VLOOKUP(F193,'5S'!$B$8:$E$19,4,0),0)</f>
        <v>1</v>
      </c>
      <c r="N193" s="65">
        <f>VLOOKUP(M193,'5S'!$G$8:$I$14,3,1)*VLOOKUP($M$2,'Kriter Ağırlık'!$A$1:$B$8,2,0)*E193*X193</f>
        <v>6.9333333333333336</v>
      </c>
      <c r="O193" s="1">
        <f>IFERROR(VLOOKUP(A193,Devamsızlıklar!A:K,10,0),0)</f>
        <v>0</v>
      </c>
      <c r="P193" s="40">
        <f>VLOOKUP(O193,Aralıklar!$A$2:$C$5,3,1)*VLOOKUP($O$2,'Kriter Ağırlık'!$A$1:$B$8,2,0)*E193*X193</f>
        <v>8.6666666666666679</v>
      </c>
      <c r="Q193" s="1">
        <f>IFERROR(VLOOKUP(A193,Devamsızlıklar!A:K,8,0),0)</f>
        <v>0</v>
      </c>
      <c r="R193" s="33">
        <f>VLOOKUP(Q193,Aralıklar!$E$2:$G$5,3,1)</f>
        <v>1</v>
      </c>
      <c r="S193" s="33">
        <f>IFERROR(VLOOKUP(A193,Devamsızlıklar!A:K,9,0),0)</f>
        <v>5</v>
      </c>
      <c r="T193" s="33">
        <f>VLOOKUP(S193,Aralıklar!$I$2:$K$6,3,1)</f>
        <v>25</v>
      </c>
      <c r="U193" s="33">
        <f>IFERROR(VLOOKUP(A193,Devamsızlıklar!A:K,11,0),0)</f>
        <v>0</v>
      </c>
      <c r="V193" s="33">
        <f>VLOOKUP(U193,Aralıklar!$M$2:$O$6,3,1)</f>
        <v>50</v>
      </c>
      <c r="W193" s="40">
        <f>IF(X193=0,0,(T193+V193)*R193*VLOOKUP($W$2,'Kriter Ağırlık'!$A$1:$B$8,2,1)*E193)</f>
        <v>7.5</v>
      </c>
      <c r="X193" s="40">
        <f>IFERROR(VLOOKUP(A193,Devamsızlıklar!A:M,13,0),1)</f>
        <v>0.8666666666666667</v>
      </c>
      <c r="Y193" s="40">
        <f>(OEE!$K$6*VLOOKUP($Y$2,'Kriter Ağırlık'!$A$1:$B$8,2,1))*X193*E193</f>
        <v>30.333333333333336</v>
      </c>
      <c r="Z193" s="40">
        <f>(TELEF!$I$10*VLOOKUP($Z$2,'Kriter Ağırlık'!$A$1:$B$8,2,1))*X193*E193</f>
        <v>13</v>
      </c>
      <c r="AA193" s="40">
        <f t="shared" si="13"/>
        <v>66.433333333333337</v>
      </c>
      <c r="AB193" s="1">
        <v>5</v>
      </c>
      <c r="AC193" s="33">
        <f>VLOOKUP(AB193,'Kriter Ağırlık'!$A$12:$C$17,3,0)</f>
        <v>18.5</v>
      </c>
      <c r="AD193" s="106">
        <v>4</v>
      </c>
      <c r="AE193" s="33">
        <f>VLOOKUP(AD193,'Kriter Ağırlık'!$E$12:$G$24,3,0)</f>
        <v>1.077</v>
      </c>
      <c r="AF193" s="92">
        <f t="shared" si="14"/>
        <v>1323.65095</v>
      </c>
      <c r="AG193" t="str">
        <f>VLOOKUP(A193,'Çalışan Listesi'!A:G,6,0)</f>
        <v>OPERATÖR</v>
      </c>
    </row>
    <row r="194" spans="1:33" x14ac:dyDescent="0.2">
      <c r="A194" s="2">
        <v>4183</v>
      </c>
      <c r="B194" s="3" t="s">
        <v>240</v>
      </c>
      <c r="C194" s="4">
        <v>43108</v>
      </c>
      <c r="D194" s="5">
        <f t="shared" si="17"/>
        <v>90</v>
      </c>
      <c r="E194" s="6">
        <f t="shared" ref="E194:E256" si="18">D194/90</f>
        <v>1</v>
      </c>
      <c r="F194" s="25" t="s">
        <v>422</v>
      </c>
      <c r="G194" s="3" t="s">
        <v>54</v>
      </c>
      <c r="H194" s="106" t="str">
        <f>VLOOKUP(A194,'Çalışan Listesi'!A:G,7,0)</f>
        <v>2.KADEME</v>
      </c>
      <c r="I194" s="65">
        <f>IFERROR(VLOOKUP(A194,'Kaizen Listesi'!A:H,8,0),0)</f>
        <v>0</v>
      </c>
      <c r="J194" s="65">
        <f>I194*VLOOKUP($I$2,'Kriter Ağırlık'!$A$1:$B$8,2,0)</f>
        <v>0</v>
      </c>
      <c r="K194" s="65">
        <f>IFERROR(VLOOKUP(A194,'Hata Kartı '!A:H,8,0),0)</f>
        <v>0</v>
      </c>
      <c r="L194" s="65">
        <f>K194*(VLOOKUP($K$2,'Kriter Ağırlık'!$A$1:$B$8,2,0))</f>
        <v>0</v>
      </c>
      <c r="M194" s="65">
        <f>IFERROR(VLOOKUP(F194,'5S'!$B$8:$E$19,4,0),0)</f>
        <v>1</v>
      </c>
      <c r="N194" s="65">
        <f>VLOOKUP(M194,'5S'!$G$8:$I$14,3,1)*VLOOKUP($M$2,'Kriter Ağırlık'!$A$1:$B$8,2,0)*E194*X194</f>
        <v>8</v>
      </c>
      <c r="O194" s="1">
        <f>IFERROR(VLOOKUP(A194,Devamsızlıklar!A:K,10,0),0)</f>
        <v>0</v>
      </c>
      <c r="P194" s="40">
        <f>VLOOKUP(O194,Aralıklar!$A$2:$C$5,3,1)*VLOOKUP($O$2,'Kriter Ağırlık'!$A$1:$B$8,2,0)*E194*X194</f>
        <v>10</v>
      </c>
      <c r="Q194" s="1">
        <f>IFERROR(VLOOKUP(A194,Devamsızlıklar!A:K,8,0),0)</f>
        <v>0</v>
      </c>
      <c r="R194" s="33">
        <f>VLOOKUP(Q194,Aralıklar!$E$2:$G$5,3,1)</f>
        <v>1</v>
      </c>
      <c r="S194" s="33">
        <f>IFERROR(VLOOKUP(A194,Devamsızlıklar!A:K,9,0),0)</f>
        <v>0</v>
      </c>
      <c r="T194" s="33">
        <f>VLOOKUP(S194,Aralıklar!$I$2:$K$6,3,1)</f>
        <v>50</v>
      </c>
      <c r="U194" s="33">
        <f>IFERROR(VLOOKUP(A194,Devamsızlıklar!A:K,11,0),0)</f>
        <v>0</v>
      </c>
      <c r="V194" s="33">
        <f>VLOOKUP(U194,Aralıklar!$M$2:$O$6,3,1)</f>
        <v>50</v>
      </c>
      <c r="W194" s="40">
        <f>IF(X194=0,0,(T194+V194)*R194*VLOOKUP($W$2,'Kriter Ağırlık'!$A$1:$B$8,2,1)*E194)</f>
        <v>10</v>
      </c>
      <c r="X194" s="40">
        <f>IFERROR(VLOOKUP(A194,Devamsızlıklar!A:M,13,0),1)</f>
        <v>1</v>
      </c>
      <c r="Y194" s="40">
        <f>(OEE!$K$6*VLOOKUP($Y$2,'Kriter Ağırlık'!$A$1:$B$8,2,1))*X194*E194</f>
        <v>35</v>
      </c>
      <c r="Z194" s="40">
        <f>(TELEF!$I$10*VLOOKUP($Z$2,'Kriter Ağırlık'!$A$1:$B$8,2,1))*X194*E194</f>
        <v>15</v>
      </c>
      <c r="AA194" s="40">
        <f t="shared" ref="AA194:AA256" si="19">J194+L194+N194+P194+W194+Y194+Z194</f>
        <v>78</v>
      </c>
      <c r="AB194" s="1">
        <v>5</v>
      </c>
      <c r="AC194" s="33">
        <f>VLOOKUP(AB194,'Kriter Ağırlık'!$A$12:$C$17,3,0)</f>
        <v>18.5</v>
      </c>
      <c r="AD194" s="106">
        <v>4</v>
      </c>
      <c r="AE194" s="33">
        <f>VLOOKUP(AD194,'Kriter Ağırlık'!$E$12:$G$24,3,0)</f>
        <v>1.077</v>
      </c>
      <c r="AF194" s="92">
        <f t="shared" ref="AF194:AF256" si="20">AA194*AC194*AE194</f>
        <v>1554.1109999999999</v>
      </c>
      <c r="AG194" t="str">
        <f>VLOOKUP(A194,'Çalışan Listesi'!A:G,6,0)</f>
        <v>OPERATÖR</v>
      </c>
    </row>
    <row r="195" spans="1:33" x14ac:dyDescent="0.2">
      <c r="A195" s="2">
        <v>4188</v>
      </c>
      <c r="B195" s="3" t="s">
        <v>241</v>
      </c>
      <c r="C195" s="4">
        <v>43115</v>
      </c>
      <c r="D195" s="5">
        <f t="shared" si="17"/>
        <v>90</v>
      </c>
      <c r="E195" s="6">
        <f t="shared" si="18"/>
        <v>1</v>
      </c>
      <c r="F195" s="25" t="s">
        <v>421</v>
      </c>
      <c r="G195" s="3" t="s">
        <v>10</v>
      </c>
      <c r="H195" s="106" t="str">
        <f>VLOOKUP(A195,'Çalışan Listesi'!A:G,7,0)</f>
        <v>2.KADEME</v>
      </c>
      <c r="I195" s="65">
        <f>IFERROR(VLOOKUP(A195,'Kaizen Listesi'!A:H,8,0),0)</f>
        <v>0</v>
      </c>
      <c r="J195" s="65">
        <f>I195*VLOOKUP($I$2,'Kriter Ağırlık'!$A$1:$B$8,2,0)</f>
        <v>0</v>
      </c>
      <c r="K195" s="65">
        <f>IFERROR(VLOOKUP(A195,'Hata Kartı '!A:H,8,0),0)</f>
        <v>16.666666666666668</v>
      </c>
      <c r="L195" s="65">
        <f>K195*(VLOOKUP($K$2,'Kriter Ağırlık'!$A$1:$B$8,2,0))</f>
        <v>1.666666666666667</v>
      </c>
      <c r="M195" s="65">
        <f>IFERROR(VLOOKUP(F195,'5S'!$B$8:$E$19,4,0),0)</f>
        <v>1</v>
      </c>
      <c r="N195" s="65">
        <f>VLOOKUP(M195,'5S'!$G$8:$I$14,3,1)*VLOOKUP($M$2,'Kriter Ağırlık'!$A$1:$B$8,2,0)*E195*X195</f>
        <v>8</v>
      </c>
      <c r="O195" s="1">
        <f>IFERROR(VLOOKUP(A195,Devamsızlıklar!A:K,10,0),0)</f>
        <v>0</v>
      </c>
      <c r="P195" s="40">
        <f>VLOOKUP(O195,Aralıklar!$A$2:$C$5,3,1)*VLOOKUP($O$2,'Kriter Ağırlık'!$A$1:$B$8,2,0)*E195*X195</f>
        <v>10</v>
      </c>
      <c r="Q195" s="1">
        <f>IFERROR(VLOOKUP(A195,Devamsızlıklar!A:K,8,0),0)</f>
        <v>0</v>
      </c>
      <c r="R195" s="33">
        <f>VLOOKUP(Q195,Aralıklar!$E$2:$G$5,3,1)</f>
        <v>1</v>
      </c>
      <c r="S195" s="33">
        <f>IFERROR(VLOOKUP(A195,Devamsızlıklar!A:K,9,0),0)</f>
        <v>0</v>
      </c>
      <c r="T195" s="33">
        <f>VLOOKUP(S195,Aralıklar!$I$2:$K$6,3,1)</f>
        <v>50</v>
      </c>
      <c r="U195" s="33">
        <f>IFERROR(VLOOKUP(A195,Devamsızlıklar!A:K,11,0),0)</f>
        <v>0</v>
      </c>
      <c r="V195" s="33">
        <f>VLOOKUP(U195,Aralıklar!$M$2:$O$6,3,1)</f>
        <v>50</v>
      </c>
      <c r="W195" s="40">
        <f>IF(X195=0,0,(T195+V195)*R195*VLOOKUP($W$2,'Kriter Ağırlık'!$A$1:$B$8,2,1)*E195)</f>
        <v>10</v>
      </c>
      <c r="X195" s="40">
        <f>IFERROR(VLOOKUP(A195,Devamsızlıklar!A:M,13,0),1)</f>
        <v>1</v>
      </c>
      <c r="Y195" s="40">
        <f>(OEE!$K$6*VLOOKUP($Y$2,'Kriter Ağırlık'!$A$1:$B$8,2,1))*X195*E195</f>
        <v>35</v>
      </c>
      <c r="Z195" s="40">
        <f>(TELEF!$I$10*VLOOKUP($Z$2,'Kriter Ağırlık'!$A$1:$B$8,2,1))*X195*E195</f>
        <v>15</v>
      </c>
      <c r="AA195" s="40">
        <f t="shared" si="19"/>
        <v>79.666666666666671</v>
      </c>
      <c r="AB195" s="1">
        <v>5</v>
      </c>
      <c r="AC195" s="33">
        <f>VLOOKUP(AB195,'Kriter Ağırlık'!$A$12:$C$17,3,0)</f>
        <v>18.5</v>
      </c>
      <c r="AD195" s="106">
        <v>4</v>
      </c>
      <c r="AE195" s="33">
        <f>VLOOKUP(AD195,'Kriter Ağırlık'!$E$12:$G$24,3,0)</f>
        <v>1.077</v>
      </c>
      <c r="AF195" s="92">
        <f t="shared" si="20"/>
        <v>1587.3185000000001</v>
      </c>
      <c r="AG195" t="str">
        <f>VLOOKUP(A195,'Çalışan Listesi'!A:G,6,0)</f>
        <v>OPERATÖR</v>
      </c>
    </row>
    <row r="196" spans="1:33" x14ac:dyDescent="0.2">
      <c r="A196" s="2">
        <v>4199</v>
      </c>
      <c r="B196" s="3" t="s">
        <v>242</v>
      </c>
      <c r="C196" s="4">
        <v>43129</v>
      </c>
      <c r="D196" s="5">
        <f t="shared" si="17"/>
        <v>90</v>
      </c>
      <c r="E196" s="6">
        <f t="shared" si="18"/>
        <v>1</v>
      </c>
      <c r="F196" s="25" t="s">
        <v>429</v>
      </c>
      <c r="G196" s="3" t="s">
        <v>46</v>
      </c>
      <c r="H196" s="106" t="str">
        <f>VLOOKUP(A196,'Çalışan Listesi'!A:G,7,0)</f>
        <v>2.KADEME</v>
      </c>
      <c r="I196" s="65">
        <f>IFERROR(VLOOKUP(A196,'Kaizen Listesi'!A:H,8,0),0)</f>
        <v>0</v>
      </c>
      <c r="J196" s="65">
        <f>I196*VLOOKUP($I$2,'Kriter Ağırlık'!$A$1:$B$8,2,0)</f>
        <v>0</v>
      </c>
      <c r="K196" s="65">
        <f>IFERROR(VLOOKUP(A196,'Hata Kartı '!A:H,8,0),0)</f>
        <v>0</v>
      </c>
      <c r="L196" s="65">
        <f>K196*(VLOOKUP($K$2,'Kriter Ağırlık'!$A$1:$B$8,2,0))</f>
        <v>0</v>
      </c>
      <c r="M196" s="65">
        <f>IFERROR(VLOOKUP(F196,'5S'!$B$8:$E$19,4,0),0)</f>
        <v>1</v>
      </c>
      <c r="N196" s="65">
        <f>VLOOKUP(M196,'5S'!$G$8:$I$14,3,1)*VLOOKUP($M$2,'Kriter Ağırlık'!$A$1:$B$8,2,0)*E196*X196</f>
        <v>8</v>
      </c>
      <c r="O196" s="1">
        <f>IFERROR(VLOOKUP(A196,Devamsızlıklar!A:K,10,0),0)</f>
        <v>0</v>
      </c>
      <c r="P196" s="40">
        <f>VLOOKUP(O196,Aralıklar!$A$2:$C$5,3,1)*VLOOKUP($O$2,'Kriter Ağırlık'!$A$1:$B$8,2,0)*E196*X196</f>
        <v>10</v>
      </c>
      <c r="Q196" s="1">
        <f>IFERROR(VLOOKUP(A196,Devamsızlıklar!A:K,8,0),0)</f>
        <v>0</v>
      </c>
      <c r="R196" s="33">
        <f>VLOOKUP(Q196,Aralıklar!$E$2:$G$5,3,1)</f>
        <v>1</v>
      </c>
      <c r="S196" s="33">
        <f>IFERROR(VLOOKUP(A196,Devamsızlıklar!A:K,9,0),0)</f>
        <v>0</v>
      </c>
      <c r="T196" s="33">
        <f>VLOOKUP(S196,Aralıklar!$I$2:$K$6,3,1)</f>
        <v>50</v>
      </c>
      <c r="U196" s="33">
        <f>IFERROR(VLOOKUP(A196,Devamsızlıklar!A:K,11,0),0)</f>
        <v>0</v>
      </c>
      <c r="V196" s="33">
        <f>VLOOKUP(U196,Aralıklar!$M$2:$O$6,3,1)</f>
        <v>50</v>
      </c>
      <c r="W196" s="40">
        <f>IF(X196=0,0,(T196+V196)*R196*VLOOKUP($W$2,'Kriter Ağırlık'!$A$1:$B$8,2,1)*E196)</f>
        <v>10</v>
      </c>
      <c r="X196" s="40">
        <f>IFERROR(VLOOKUP(A196,Devamsızlıklar!A:M,13,0),1)</f>
        <v>1</v>
      </c>
      <c r="Y196" s="40">
        <f>(OEE!$K$6*VLOOKUP($Y$2,'Kriter Ağırlık'!$A$1:$B$8,2,1))*X196*E196</f>
        <v>35</v>
      </c>
      <c r="Z196" s="40">
        <f>(TELEF!$I$10*VLOOKUP($Z$2,'Kriter Ağırlık'!$A$1:$B$8,2,1))*X196*E196</f>
        <v>15</v>
      </c>
      <c r="AA196" s="40">
        <f t="shared" si="19"/>
        <v>78</v>
      </c>
      <c r="AB196" s="1">
        <v>5</v>
      </c>
      <c r="AC196" s="33">
        <f>VLOOKUP(AB196,'Kriter Ağırlık'!$A$12:$C$17,3,0)</f>
        <v>18.5</v>
      </c>
      <c r="AD196" s="106">
        <v>4</v>
      </c>
      <c r="AE196" s="33">
        <f>VLOOKUP(AD196,'Kriter Ağırlık'!$E$12:$G$24,3,0)</f>
        <v>1.077</v>
      </c>
      <c r="AF196" s="92">
        <f t="shared" si="20"/>
        <v>1554.1109999999999</v>
      </c>
      <c r="AG196" t="str">
        <f>VLOOKUP(A196,'Çalışan Listesi'!A:G,6,0)</f>
        <v>OPERATÖR</v>
      </c>
    </row>
    <row r="197" spans="1:33" x14ac:dyDescent="0.2">
      <c r="A197" s="2">
        <v>4212</v>
      </c>
      <c r="B197" s="3" t="s">
        <v>243</v>
      </c>
      <c r="C197" s="4">
        <v>43150</v>
      </c>
      <c r="D197" s="5">
        <f t="shared" si="17"/>
        <v>90</v>
      </c>
      <c r="E197" s="6">
        <f t="shared" si="18"/>
        <v>1</v>
      </c>
      <c r="F197" s="25" t="s">
        <v>421</v>
      </c>
      <c r="G197" s="3" t="s">
        <v>86</v>
      </c>
      <c r="H197" s="106" t="str">
        <f>VLOOKUP(A197,'Çalışan Listesi'!A:G,7,0)</f>
        <v>2.KADEME</v>
      </c>
      <c r="I197" s="65">
        <f>IFERROR(VLOOKUP(A197,'Kaizen Listesi'!A:H,8,0),0)</f>
        <v>0</v>
      </c>
      <c r="J197" s="65">
        <f>I197*VLOOKUP($I$2,'Kriter Ağırlık'!$A$1:$B$8,2,0)</f>
        <v>0</v>
      </c>
      <c r="K197" s="65">
        <f>IFERROR(VLOOKUP(A197,'Hata Kartı '!A:H,8,0),0)</f>
        <v>0</v>
      </c>
      <c r="L197" s="65">
        <f>K197*(VLOOKUP($K$2,'Kriter Ağırlık'!$A$1:$B$8,2,0))</f>
        <v>0</v>
      </c>
      <c r="M197" s="65">
        <f>IFERROR(VLOOKUP(F197,'5S'!$B$8:$E$19,4,0),0)</f>
        <v>1</v>
      </c>
      <c r="N197" s="65">
        <f>VLOOKUP(M197,'5S'!$G$8:$I$14,3,1)*VLOOKUP($M$2,'Kriter Ağırlık'!$A$1:$B$8,2,0)*E197*X197</f>
        <v>8</v>
      </c>
      <c r="O197" s="1">
        <f>IFERROR(VLOOKUP(A197,Devamsızlıklar!A:K,10,0),0)</f>
        <v>0</v>
      </c>
      <c r="P197" s="40">
        <f>VLOOKUP(O197,Aralıklar!$A$2:$C$5,3,1)*VLOOKUP($O$2,'Kriter Ağırlık'!$A$1:$B$8,2,0)*E197*X197</f>
        <v>10</v>
      </c>
      <c r="Q197" s="1">
        <f>IFERROR(VLOOKUP(A197,Devamsızlıklar!A:K,8,0),0)</f>
        <v>0</v>
      </c>
      <c r="R197" s="33">
        <f>VLOOKUP(Q197,Aralıklar!$E$2:$G$5,3,1)</f>
        <v>1</v>
      </c>
      <c r="S197" s="33">
        <f>IFERROR(VLOOKUP(A197,Devamsızlıklar!A:K,9,0),0)</f>
        <v>0</v>
      </c>
      <c r="T197" s="33">
        <f>VLOOKUP(S197,Aralıklar!$I$2:$K$6,3,1)</f>
        <v>50</v>
      </c>
      <c r="U197" s="33">
        <f>IFERROR(VLOOKUP(A197,Devamsızlıklar!A:K,11,0),0)</f>
        <v>0</v>
      </c>
      <c r="V197" s="33">
        <f>VLOOKUP(U197,Aralıklar!$M$2:$O$6,3,1)</f>
        <v>50</v>
      </c>
      <c r="W197" s="40">
        <f>IF(X197=0,0,(T197+V197)*R197*VLOOKUP($W$2,'Kriter Ağırlık'!$A$1:$B$8,2,1)*E197)</f>
        <v>10</v>
      </c>
      <c r="X197" s="40">
        <f>IFERROR(VLOOKUP(A197,Devamsızlıklar!A:M,13,0),1)</f>
        <v>1</v>
      </c>
      <c r="Y197" s="40">
        <f>(OEE!$K$6*VLOOKUP($Y$2,'Kriter Ağırlık'!$A$1:$B$8,2,1))*X197*E197</f>
        <v>35</v>
      </c>
      <c r="Z197" s="40">
        <f>(TELEF!$I$10*VLOOKUP($Z$2,'Kriter Ağırlık'!$A$1:$B$8,2,1))*X197*E197</f>
        <v>15</v>
      </c>
      <c r="AA197" s="40">
        <f t="shared" si="19"/>
        <v>78</v>
      </c>
      <c r="AB197" s="1">
        <v>5</v>
      </c>
      <c r="AC197" s="33">
        <f>VLOOKUP(AB197,'Kriter Ağırlık'!$A$12:$C$17,3,0)</f>
        <v>18.5</v>
      </c>
      <c r="AD197" s="106">
        <v>4</v>
      </c>
      <c r="AE197" s="33">
        <f>VLOOKUP(AD197,'Kriter Ağırlık'!$E$12:$G$24,3,0)</f>
        <v>1.077</v>
      </c>
      <c r="AF197" s="92">
        <f t="shared" si="20"/>
        <v>1554.1109999999999</v>
      </c>
      <c r="AG197" t="str">
        <f>VLOOKUP(A197,'Çalışan Listesi'!A:G,6,0)</f>
        <v>OPERATÖR</v>
      </c>
    </row>
    <row r="198" spans="1:33" x14ac:dyDescent="0.2">
      <c r="A198" s="2">
        <v>4218</v>
      </c>
      <c r="B198" s="3" t="s">
        <v>244</v>
      </c>
      <c r="C198" s="4">
        <v>43150</v>
      </c>
      <c r="D198" s="5">
        <f t="shared" si="17"/>
        <v>90</v>
      </c>
      <c r="E198" s="6">
        <f t="shared" si="18"/>
        <v>1</v>
      </c>
      <c r="F198" s="25" t="s">
        <v>421</v>
      </c>
      <c r="G198" s="3" t="s">
        <v>86</v>
      </c>
      <c r="H198" s="106" t="str">
        <f>VLOOKUP(A198,'Çalışan Listesi'!A:G,7,0)</f>
        <v>2.KADEME</v>
      </c>
      <c r="I198" s="65">
        <f>IFERROR(VLOOKUP(A198,'Kaizen Listesi'!A:H,8,0),0)</f>
        <v>0</v>
      </c>
      <c r="J198" s="65">
        <f>I198*VLOOKUP($I$2,'Kriter Ağırlık'!$A$1:$B$8,2,0)</f>
        <v>0</v>
      </c>
      <c r="K198" s="65">
        <f>IFERROR(VLOOKUP(A198,'Hata Kartı '!A:H,8,0),0)</f>
        <v>33.333333333333336</v>
      </c>
      <c r="L198" s="65">
        <f>K198*(VLOOKUP($K$2,'Kriter Ağırlık'!$A$1:$B$8,2,0))</f>
        <v>3.3333333333333339</v>
      </c>
      <c r="M198" s="65">
        <f>IFERROR(VLOOKUP(F198,'5S'!$B$8:$E$19,4,0),0)</f>
        <v>1</v>
      </c>
      <c r="N198" s="65">
        <f>VLOOKUP(M198,'5S'!$G$8:$I$14,3,1)*VLOOKUP($M$2,'Kriter Ağırlık'!$A$1:$B$8,2,0)*E198*X198</f>
        <v>8</v>
      </c>
      <c r="O198" s="1">
        <f>IFERROR(VLOOKUP(A198,Devamsızlıklar!A:K,10,0),0)</f>
        <v>0</v>
      </c>
      <c r="P198" s="40">
        <f>VLOOKUP(O198,Aralıklar!$A$2:$C$5,3,1)*VLOOKUP($O$2,'Kriter Ağırlık'!$A$1:$B$8,2,0)*E198*X198</f>
        <v>10</v>
      </c>
      <c r="Q198" s="1">
        <f>IFERROR(VLOOKUP(A198,Devamsızlıklar!A:K,8,0),0)</f>
        <v>0</v>
      </c>
      <c r="R198" s="33">
        <f>VLOOKUP(Q198,Aralıklar!$E$2:$G$5,3,1)</f>
        <v>1</v>
      </c>
      <c r="S198" s="33">
        <f>IFERROR(VLOOKUP(A198,Devamsızlıklar!A:K,9,0),0)</f>
        <v>0</v>
      </c>
      <c r="T198" s="33">
        <f>VLOOKUP(S198,Aralıklar!$I$2:$K$6,3,1)</f>
        <v>50</v>
      </c>
      <c r="U198" s="33">
        <f>IFERROR(VLOOKUP(A198,Devamsızlıklar!A:K,11,0),0)</f>
        <v>0</v>
      </c>
      <c r="V198" s="33">
        <f>VLOOKUP(U198,Aralıklar!$M$2:$O$6,3,1)</f>
        <v>50</v>
      </c>
      <c r="W198" s="40">
        <f>IF(X198=0,0,(T198+V198)*R198*VLOOKUP($W$2,'Kriter Ağırlık'!$A$1:$B$8,2,1)*E198)</f>
        <v>10</v>
      </c>
      <c r="X198" s="40">
        <f>IFERROR(VLOOKUP(A198,Devamsızlıklar!A:M,13,0),1)</f>
        <v>1</v>
      </c>
      <c r="Y198" s="40">
        <f>(OEE!$K$6*VLOOKUP($Y$2,'Kriter Ağırlık'!$A$1:$B$8,2,1))*X198*E198</f>
        <v>35</v>
      </c>
      <c r="Z198" s="40">
        <f>(TELEF!$I$10*VLOOKUP($Z$2,'Kriter Ağırlık'!$A$1:$B$8,2,1))*X198*E198</f>
        <v>15</v>
      </c>
      <c r="AA198" s="40">
        <f t="shared" si="19"/>
        <v>81.333333333333343</v>
      </c>
      <c r="AB198" s="1">
        <v>5</v>
      </c>
      <c r="AC198" s="33">
        <f>VLOOKUP(AB198,'Kriter Ağırlık'!$A$12:$C$17,3,0)</f>
        <v>18.5</v>
      </c>
      <c r="AD198" s="106">
        <v>4</v>
      </c>
      <c r="AE198" s="33">
        <f>VLOOKUP(AD198,'Kriter Ağırlık'!$E$12:$G$24,3,0)</f>
        <v>1.077</v>
      </c>
      <c r="AF198" s="92">
        <f t="shared" si="20"/>
        <v>1620.5260000000001</v>
      </c>
      <c r="AG198" t="str">
        <f>VLOOKUP(A198,'Çalışan Listesi'!A:G,6,0)</f>
        <v>OPERATÖR</v>
      </c>
    </row>
    <row r="199" spans="1:33" x14ac:dyDescent="0.2">
      <c r="A199" s="2">
        <v>4232</v>
      </c>
      <c r="B199" s="3" t="s">
        <v>245</v>
      </c>
      <c r="C199" s="4">
        <v>43171</v>
      </c>
      <c r="D199" s="5">
        <f t="shared" si="17"/>
        <v>90</v>
      </c>
      <c r="E199" s="6">
        <f t="shared" si="18"/>
        <v>1</v>
      </c>
      <c r="F199" s="25" t="s">
        <v>421</v>
      </c>
      <c r="G199" s="3" t="s">
        <v>86</v>
      </c>
      <c r="H199" s="106" t="str">
        <f>VLOOKUP(A199,'Çalışan Listesi'!A:G,7,0)</f>
        <v>2.KADEME</v>
      </c>
      <c r="I199" s="65">
        <f>IFERROR(VLOOKUP(A199,'Kaizen Listesi'!A:H,8,0),0)</f>
        <v>0</v>
      </c>
      <c r="J199" s="65">
        <f>I199*VLOOKUP($I$2,'Kriter Ağırlık'!$A$1:$B$8,2,0)</f>
        <v>0</v>
      </c>
      <c r="K199" s="65">
        <f>IFERROR(VLOOKUP(A199,'Hata Kartı '!A:H,8,0),0)</f>
        <v>33.333333333333336</v>
      </c>
      <c r="L199" s="65">
        <f>K199*(VLOOKUP($K$2,'Kriter Ağırlık'!$A$1:$B$8,2,0))</f>
        <v>3.3333333333333339</v>
      </c>
      <c r="M199" s="65">
        <f>IFERROR(VLOOKUP(F199,'5S'!$B$8:$E$19,4,0),0)</f>
        <v>1</v>
      </c>
      <c r="N199" s="65">
        <f>VLOOKUP(M199,'5S'!$G$8:$I$14,3,1)*VLOOKUP($M$2,'Kriter Ağırlık'!$A$1:$B$8,2,0)*E199*X199</f>
        <v>8</v>
      </c>
      <c r="O199" s="1">
        <f>IFERROR(VLOOKUP(A199,Devamsızlıklar!A:K,10,0),0)</f>
        <v>0</v>
      </c>
      <c r="P199" s="40">
        <f>VLOOKUP(O199,Aralıklar!$A$2:$C$5,3,1)*VLOOKUP($O$2,'Kriter Ağırlık'!$A$1:$B$8,2,0)*E199*X199</f>
        <v>10</v>
      </c>
      <c r="Q199" s="1">
        <f>IFERROR(VLOOKUP(A199,Devamsızlıklar!A:K,8,0),0)</f>
        <v>0</v>
      </c>
      <c r="R199" s="33">
        <f>VLOOKUP(Q199,Aralıklar!$E$2:$G$5,3,1)</f>
        <v>1</v>
      </c>
      <c r="S199" s="33">
        <f>IFERROR(VLOOKUP(A199,Devamsızlıklar!A:K,9,0),0)</f>
        <v>0</v>
      </c>
      <c r="T199" s="33">
        <f>VLOOKUP(S199,Aralıklar!$I$2:$K$6,3,1)</f>
        <v>50</v>
      </c>
      <c r="U199" s="33">
        <f>IFERROR(VLOOKUP(A199,Devamsızlıklar!A:K,11,0),0)</f>
        <v>0</v>
      </c>
      <c r="V199" s="33">
        <f>VLOOKUP(U199,Aralıklar!$M$2:$O$6,3,1)</f>
        <v>50</v>
      </c>
      <c r="W199" s="40">
        <f>IF(X199=0,0,(T199+V199)*R199*VLOOKUP($W$2,'Kriter Ağırlık'!$A$1:$B$8,2,1)*E199)</f>
        <v>10</v>
      </c>
      <c r="X199" s="40">
        <f>IFERROR(VLOOKUP(A199,Devamsızlıklar!A:M,13,0),1)</f>
        <v>1</v>
      </c>
      <c r="Y199" s="40">
        <f>(OEE!$K$6*VLOOKUP($Y$2,'Kriter Ağırlık'!$A$1:$B$8,2,1))*X199*E199</f>
        <v>35</v>
      </c>
      <c r="Z199" s="40">
        <f>(TELEF!$I$10*VLOOKUP($Z$2,'Kriter Ağırlık'!$A$1:$B$8,2,1))*X199*E199</f>
        <v>15</v>
      </c>
      <c r="AA199" s="40">
        <f t="shared" si="19"/>
        <v>81.333333333333343</v>
      </c>
      <c r="AB199" s="1">
        <v>5</v>
      </c>
      <c r="AC199" s="33">
        <f>VLOOKUP(AB199,'Kriter Ağırlık'!$A$12:$C$17,3,0)</f>
        <v>18.5</v>
      </c>
      <c r="AD199" s="106">
        <v>4</v>
      </c>
      <c r="AE199" s="33">
        <f>VLOOKUP(AD199,'Kriter Ağırlık'!$E$12:$G$24,3,0)</f>
        <v>1.077</v>
      </c>
      <c r="AF199" s="92">
        <f t="shared" si="20"/>
        <v>1620.5260000000001</v>
      </c>
      <c r="AG199" t="str">
        <f>VLOOKUP(A199,'Çalışan Listesi'!A:G,6,0)</f>
        <v>OPERATÖR</v>
      </c>
    </row>
    <row r="200" spans="1:33" x14ac:dyDescent="0.2">
      <c r="A200" s="2">
        <v>4236</v>
      </c>
      <c r="B200" s="3" t="s">
        <v>246</v>
      </c>
      <c r="C200" s="4">
        <v>43178</v>
      </c>
      <c r="D200" s="5">
        <f t="shared" si="17"/>
        <v>90</v>
      </c>
      <c r="E200" s="6">
        <f t="shared" si="18"/>
        <v>1</v>
      </c>
      <c r="F200" s="25" t="s">
        <v>421</v>
      </c>
      <c r="G200" s="3" t="s">
        <v>10</v>
      </c>
      <c r="H200" s="106" t="str">
        <f>VLOOKUP(A200,'Çalışan Listesi'!A:G,7,0)</f>
        <v>2.KADEME</v>
      </c>
      <c r="I200" s="65">
        <f>IFERROR(VLOOKUP(A200,'Kaizen Listesi'!A:H,8,0),0)</f>
        <v>0</v>
      </c>
      <c r="J200" s="65">
        <f>I200*VLOOKUP($I$2,'Kriter Ağırlık'!$A$1:$B$8,2,0)</f>
        <v>0</v>
      </c>
      <c r="K200" s="65">
        <f>IFERROR(VLOOKUP(A200,'Hata Kartı '!A:H,8,0),0)</f>
        <v>16.666666666666668</v>
      </c>
      <c r="L200" s="65">
        <f>K200*(VLOOKUP($K$2,'Kriter Ağırlık'!$A$1:$B$8,2,0))</f>
        <v>1.666666666666667</v>
      </c>
      <c r="M200" s="65">
        <f>IFERROR(VLOOKUP(F200,'5S'!$B$8:$E$19,4,0),0)</f>
        <v>1</v>
      </c>
      <c r="N200" s="65">
        <f>VLOOKUP(M200,'5S'!$G$8:$I$14,3,1)*VLOOKUP($M$2,'Kriter Ağırlık'!$A$1:$B$8,2,0)*E200*X200</f>
        <v>7.822222222222222</v>
      </c>
      <c r="O200" s="1">
        <f>IFERROR(VLOOKUP(A200,Devamsızlıklar!A:K,10,0),0)</f>
        <v>0</v>
      </c>
      <c r="P200" s="40">
        <f>VLOOKUP(O200,Aralıklar!$A$2:$C$5,3,1)*VLOOKUP($O$2,'Kriter Ağırlık'!$A$1:$B$8,2,0)*E200*X200</f>
        <v>9.7777777777777768</v>
      </c>
      <c r="Q200" s="1">
        <f>IFERROR(VLOOKUP(A200,Devamsızlıklar!A:K,8,0),0)</f>
        <v>0</v>
      </c>
      <c r="R200" s="33">
        <f>VLOOKUP(Q200,Aralıklar!$E$2:$G$5,3,1)</f>
        <v>1</v>
      </c>
      <c r="S200" s="33">
        <f>IFERROR(VLOOKUP(A200,Devamsızlıklar!A:K,9,0),0)</f>
        <v>2</v>
      </c>
      <c r="T200" s="33">
        <f>VLOOKUP(S200,Aralıklar!$I$2:$K$6,3,1)</f>
        <v>50</v>
      </c>
      <c r="U200" s="33">
        <f>IFERROR(VLOOKUP(A200,Devamsızlıklar!A:K,11,0),0)</f>
        <v>0</v>
      </c>
      <c r="V200" s="33">
        <f>VLOOKUP(U200,Aralıklar!$M$2:$O$6,3,1)</f>
        <v>50</v>
      </c>
      <c r="W200" s="40">
        <f>IF(X200=0,0,(T200+V200)*R200*VLOOKUP($W$2,'Kriter Ağırlık'!$A$1:$B$8,2,1)*E200)</f>
        <v>10</v>
      </c>
      <c r="X200" s="40">
        <f>IFERROR(VLOOKUP(A200,Devamsızlıklar!A:M,13,0),1)</f>
        <v>0.97777777777777775</v>
      </c>
      <c r="Y200" s="40">
        <f>(OEE!$K$6*VLOOKUP($Y$2,'Kriter Ağırlık'!$A$1:$B$8,2,1))*X200*E200</f>
        <v>34.222222222222221</v>
      </c>
      <c r="Z200" s="40">
        <f>(TELEF!$I$10*VLOOKUP($Z$2,'Kriter Ağırlık'!$A$1:$B$8,2,1))*X200*E200</f>
        <v>14.666666666666666</v>
      </c>
      <c r="AA200" s="40">
        <f t="shared" si="19"/>
        <v>78.155555555555551</v>
      </c>
      <c r="AB200" s="1">
        <v>5</v>
      </c>
      <c r="AC200" s="33">
        <f>VLOOKUP(AB200,'Kriter Ağırlık'!$A$12:$C$17,3,0)</f>
        <v>18.5</v>
      </c>
      <c r="AD200" s="106">
        <v>4</v>
      </c>
      <c r="AE200" s="33">
        <f>VLOOKUP(AD200,'Kriter Ağırlık'!$E$12:$G$24,3,0)</f>
        <v>1.077</v>
      </c>
      <c r="AF200" s="92">
        <f t="shared" si="20"/>
        <v>1557.2103666666665</v>
      </c>
      <c r="AG200" t="str">
        <f>VLOOKUP(A200,'Çalışan Listesi'!A:G,6,0)</f>
        <v>OPERATÖR</v>
      </c>
    </row>
    <row r="201" spans="1:33" x14ac:dyDescent="0.2">
      <c r="A201" s="2">
        <v>4244</v>
      </c>
      <c r="B201" s="3" t="s">
        <v>442</v>
      </c>
      <c r="C201" s="4">
        <v>43185</v>
      </c>
      <c r="D201" s="5">
        <f t="shared" si="17"/>
        <v>90</v>
      </c>
      <c r="E201" s="6">
        <f t="shared" si="18"/>
        <v>1</v>
      </c>
      <c r="F201" s="72" t="s">
        <v>430</v>
      </c>
      <c r="G201" s="3" t="s">
        <v>515</v>
      </c>
      <c r="H201" s="106" t="s">
        <v>407</v>
      </c>
      <c r="I201" s="65">
        <f>IFERROR(VLOOKUP(A201,'Kaizen Listesi'!A:H,8,0),0)</f>
        <v>0</v>
      </c>
      <c r="J201" s="65">
        <f>I201*VLOOKUP($I$2,'Kriter Ağırlık'!$A$1:$B$8,2,0)</f>
        <v>0</v>
      </c>
      <c r="K201" s="65">
        <f>IFERROR(VLOOKUP(A201,'Hata Kartı '!A:H,8,0),0)</f>
        <v>0</v>
      </c>
      <c r="L201" s="65">
        <f>K201*(VLOOKUP($K$2,'Kriter Ağırlık'!$A$1:$B$8,2,0))</f>
        <v>0</v>
      </c>
      <c r="M201" s="65">
        <f>IFERROR(VLOOKUP(F201,'5S'!$B$8:$E$19,4,0),0)</f>
        <v>1</v>
      </c>
      <c r="N201" s="65">
        <f>VLOOKUP(M201,'5S'!$G$8:$I$14,3,1)*VLOOKUP($M$2,'Kriter Ağırlık'!$A$1:$B$8,2,0)*E201*X201</f>
        <v>7.5555555555555554</v>
      </c>
      <c r="O201" s="74">
        <f>IFERROR(VLOOKUP(A201,Devamsızlıklar!A:K,10,0),0)</f>
        <v>0</v>
      </c>
      <c r="P201" s="40">
        <f>VLOOKUP(O201,Aralıklar!$A$2:$C$5,3,1)*VLOOKUP($O$2,'Kriter Ağırlık'!$A$1:$B$8,2,0)*E201*X201</f>
        <v>9.4444444444444446</v>
      </c>
      <c r="Q201" s="74">
        <f>IFERROR(VLOOKUP(A201,Devamsızlıklar!A:K,8,0),0)</f>
        <v>0</v>
      </c>
      <c r="R201" s="74">
        <f>VLOOKUP(Q201,Aralıklar!$E$2:$G$5,3,1)</f>
        <v>1</v>
      </c>
      <c r="S201" s="74">
        <f>IFERROR(VLOOKUP(A201,Devamsızlıklar!A:K,9,0),0)</f>
        <v>5</v>
      </c>
      <c r="T201" s="74">
        <f>VLOOKUP(S201,Aralıklar!$I$2:$K$6,3,1)</f>
        <v>25</v>
      </c>
      <c r="U201" s="74">
        <f>IFERROR(VLOOKUP(A201,Devamsızlıklar!A:K,11,0),0)</f>
        <v>0</v>
      </c>
      <c r="V201" s="74">
        <f>VLOOKUP(U201,Aralıklar!$M$2:$O$6,3,1)</f>
        <v>50</v>
      </c>
      <c r="W201" s="40">
        <f>IF(X201=0,0,(T201+V201)*R201*VLOOKUP($W$2,'Kriter Ağırlık'!$A$1:$B$8,2,1)*E201)</f>
        <v>7.5</v>
      </c>
      <c r="X201" s="40">
        <f>IFERROR(VLOOKUP(A201,Devamsızlıklar!A:M,13,0),1)</f>
        <v>0.94444444444444442</v>
      </c>
      <c r="Y201" s="40">
        <f>(OEE!$K$6*VLOOKUP($Y$2,'Kriter Ağırlık'!$A$1:$B$8,2,1))*X201*E201</f>
        <v>33.055555555555557</v>
      </c>
      <c r="Z201" s="40">
        <f>(TELEF!$I$10*VLOOKUP($Z$2,'Kriter Ağırlık'!$A$1:$B$8,2,1))*X201*E201</f>
        <v>14.166666666666666</v>
      </c>
      <c r="AA201" s="40">
        <f t="shared" si="19"/>
        <v>71.722222222222229</v>
      </c>
      <c r="AB201" s="71">
        <v>5</v>
      </c>
      <c r="AC201" s="71">
        <f>VLOOKUP(AB201,'Kriter Ağırlık'!$A$12:$C$17,3,0)</f>
        <v>18.5</v>
      </c>
      <c r="AD201" s="74">
        <v>3</v>
      </c>
      <c r="AE201" s="74">
        <f>VLOOKUP(AD201,'Kriter Ağırlık'!$E$12:$G$24,3,0)</f>
        <v>1.1499999999999999</v>
      </c>
      <c r="AF201" s="92">
        <f t="shared" si="20"/>
        <v>1525.8902777777778</v>
      </c>
      <c r="AG201" t="e">
        <f>VLOOKUP(A201,'Çalışan Listesi'!A:G,6,0)</f>
        <v>#N/A</v>
      </c>
    </row>
    <row r="202" spans="1:33" x14ac:dyDescent="0.2">
      <c r="A202" s="2">
        <v>4246</v>
      </c>
      <c r="B202" s="3" t="s">
        <v>247</v>
      </c>
      <c r="C202" s="4">
        <v>43185</v>
      </c>
      <c r="D202" s="5">
        <f t="shared" si="17"/>
        <v>90</v>
      </c>
      <c r="E202" s="6">
        <f t="shared" si="18"/>
        <v>1</v>
      </c>
      <c r="F202" s="25" t="s">
        <v>421</v>
      </c>
      <c r="G202" s="3" t="s">
        <v>10</v>
      </c>
      <c r="H202" s="106" t="str">
        <f>VLOOKUP(A202,'Çalışan Listesi'!A:G,7,0)</f>
        <v>2.KADEME</v>
      </c>
      <c r="I202" s="65">
        <f>IFERROR(VLOOKUP(A202,'Kaizen Listesi'!A:H,8,0),0)</f>
        <v>0</v>
      </c>
      <c r="J202" s="65">
        <f>I202*VLOOKUP($I$2,'Kriter Ağırlık'!$A$1:$B$8,2,0)</f>
        <v>0</v>
      </c>
      <c r="K202" s="65">
        <f>IFERROR(VLOOKUP(A202,'Hata Kartı '!A:H,8,0),0)</f>
        <v>16.666666666666668</v>
      </c>
      <c r="L202" s="65">
        <f>K202*(VLOOKUP($K$2,'Kriter Ağırlık'!$A$1:$B$8,2,0))</f>
        <v>1.666666666666667</v>
      </c>
      <c r="M202" s="65">
        <f>IFERROR(VLOOKUP(F202,'5S'!$B$8:$E$19,4,0),0)</f>
        <v>1</v>
      </c>
      <c r="N202" s="65">
        <f>VLOOKUP(M202,'5S'!$G$8:$I$14,3,1)*VLOOKUP($M$2,'Kriter Ağırlık'!$A$1:$B$8,2,0)*E202*X202</f>
        <v>8</v>
      </c>
      <c r="O202" s="1">
        <f>IFERROR(VLOOKUP(A202,Devamsızlıklar!A:K,10,0),0)</f>
        <v>0</v>
      </c>
      <c r="P202" s="40">
        <f>VLOOKUP(O202,Aralıklar!$A$2:$C$5,3,1)*VLOOKUP($O$2,'Kriter Ağırlık'!$A$1:$B$8,2,0)*E202*X202</f>
        <v>10</v>
      </c>
      <c r="Q202" s="1">
        <f>IFERROR(VLOOKUP(A202,Devamsızlıklar!A:K,8,0),0)</f>
        <v>0</v>
      </c>
      <c r="R202" s="33">
        <f>VLOOKUP(Q202,Aralıklar!$E$2:$G$5,3,1)</f>
        <v>1</v>
      </c>
      <c r="S202" s="33">
        <f>IFERROR(VLOOKUP(A202,Devamsızlıklar!A:K,9,0),0)</f>
        <v>0</v>
      </c>
      <c r="T202" s="33">
        <f>VLOOKUP(S202,Aralıklar!$I$2:$K$6,3,1)</f>
        <v>50</v>
      </c>
      <c r="U202" s="33">
        <f>IFERROR(VLOOKUP(A202,Devamsızlıklar!A:K,11,0),0)</f>
        <v>0</v>
      </c>
      <c r="V202" s="33">
        <f>VLOOKUP(U202,Aralıklar!$M$2:$O$6,3,1)</f>
        <v>50</v>
      </c>
      <c r="W202" s="40">
        <f>IF(X202=0,0,(T202+V202)*R202*VLOOKUP($W$2,'Kriter Ağırlık'!$A$1:$B$8,2,1)*E202)</f>
        <v>10</v>
      </c>
      <c r="X202" s="40">
        <f>IFERROR(VLOOKUP(A202,Devamsızlıklar!A:M,13,0),1)</f>
        <v>1</v>
      </c>
      <c r="Y202" s="40">
        <f>(OEE!$K$6*VLOOKUP($Y$2,'Kriter Ağırlık'!$A$1:$B$8,2,1))*X202*E202</f>
        <v>35</v>
      </c>
      <c r="Z202" s="40">
        <f>(TELEF!$I$10*VLOOKUP($Z$2,'Kriter Ağırlık'!$A$1:$B$8,2,1))*X202*E202</f>
        <v>15</v>
      </c>
      <c r="AA202" s="40">
        <f t="shared" si="19"/>
        <v>79.666666666666671</v>
      </c>
      <c r="AB202" s="1">
        <v>5</v>
      </c>
      <c r="AC202" s="33">
        <f>VLOOKUP(AB202,'Kriter Ağırlık'!$A$12:$C$17,3,0)</f>
        <v>18.5</v>
      </c>
      <c r="AD202" s="106">
        <v>4</v>
      </c>
      <c r="AE202" s="33">
        <f>VLOOKUP(AD202,'Kriter Ağırlık'!$E$12:$G$24,3,0)</f>
        <v>1.077</v>
      </c>
      <c r="AF202" s="92">
        <f t="shared" si="20"/>
        <v>1587.3185000000001</v>
      </c>
      <c r="AG202" t="str">
        <f>VLOOKUP(A202,'Çalışan Listesi'!A:G,6,0)</f>
        <v>OPERATÖR</v>
      </c>
    </row>
    <row r="203" spans="1:33" x14ac:dyDescent="0.2">
      <c r="A203" s="2">
        <v>4262</v>
      </c>
      <c r="B203" s="3" t="s">
        <v>248</v>
      </c>
      <c r="C203" s="4">
        <v>43206</v>
      </c>
      <c r="D203" s="5">
        <f t="shared" si="17"/>
        <v>90</v>
      </c>
      <c r="E203" s="6">
        <f t="shared" si="18"/>
        <v>1</v>
      </c>
      <c r="F203" s="25" t="s">
        <v>425</v>
      </c>
      <c r="G203" s="3" t="s">
        <v>24</v>
      </c>
      <c r="H203" s="106" t="str">
        <f>VLOOKUP(A203,'Çalışan Listesi'!A:G,7,0)</f>
        <v>2.KADEME</v>
      </c>
      <c r="I203" s="65">
        <f>IFERROR(VLOOKUP(A203,'Kaizen Listesi'!A:H,8,0),0)</f>
        <v>0</v>
      </c>
      <c r="J203" s="65">
        <f>I203*VLOOKUP($I$2,'Kriter Ağırlık'!$A$1:$B$8,2,0)</f>
        <v>0</v>
      </c>
      <c r="K203" s="65">
        <f>IFERROR(VLOOKUP(A203,'Hata Kartı '!A:H,8,0),0)</f>
        <v>50</v>
      </c>
      <c r="L203" s="65">
        <f>K203*(VLOOKUP($K$2,'Kriter Ağırlık'!$A$1:$B$8,2,0))</f>
        <v>5</v>
      </c>
      <c r="M203" s="65">
        <f>IFERROR(VLOOKUP(F203,'5S'!$B$8:$E$19,4,0),0)</f>
        <v>1</v>
      </c>
      <c r="N203" s="65">
        <f>VLOOKUP(M203,'5S'!$G$8:$I$14,3,1)*VLOOKUP($M$2,'Kriter Ağırlık'!$A$1:$B$8,2,0)*E203*X203</f>
        <v>6.7555555555555555</v>
      </c>
      <c r="O203" s="1">
        <f>IFERROR(VLOOKUP(A203,Devamsızlıklar!A:K,10,0),0)</f>
        <v>0</v>
      </c>
      <c r="P203" s="40">
        <f>VLOOKUP(O203,Aralıklar!$A$2:$C$5,3,1)*VLOOKUP($O$2,'Kriter Ağırlık'!$A$1:$B$8,2,0)*E203*X203</f>
        <v>8.4444444444444446</v>
      </c>
      <c r="Q203" s="1">
        <f>IFERROR(VLOOKUP(A203,Devamsızlıklar!A:K,8,0),0)</f>
        <v>0</v>
      </c>
      <c r="R203" s="33">
        <f>VLOOKUP(Q203,Aralıklar!$E$2:$G$5,3,1)</f>
        <v>1</v>
      </c>
      <c r="S203" s="33">
        <f>IFERROR(VLOOKUP(A203,Devamsızlıklar!A:K,9,0),0)</f>
        <v>7</v>
      </c>
      <c r="T203" s="33">
        <f>VLOOKUP(S203,Aralıklar!$I$2:$K$6,3,1)</f>
        <v>0</v>
      </c>
      <c r="U203" s="33">
        <f>IFERROR(VLOOKUP(A203,Devamsızlıklar!A:K,11,0),0)</f>
        <v>0</v>
      </c>
      <c r="V203" s="33">
        <f>VLOOKUP(U203,Aralıklar!$M$2:$O$6,3,1)</f>
        <v>50</v>
      </c>
      <c r="W203" s="40">
        <f>IF(X203=0,0,(T203+V203)*R203*VLOOKUP($W$2,'Kriter Ağırlık'!$A$1:$B$8,2,1)*E203)</f>
        <v>5</v>
      </c>
      <c r="X203" s="40">
        <f>IFERROR(VLOOKUP(A203,Devamsızlıklar!A:M,13,0),1)</f>
        <v>0.84444444444444444</v>
      </c>
      <c r="Y203" s="40">
        <f>(OEE!$K$6*VLOOKUP($Y$2,'Kriter Ağırlık'!$A$1:$B$8,2,1))*X203*E203</f>
        <v>29.555555555555557</v>
      </c>
      <c r="Z203" s="40">
        <f>(TELEF!$I$10*VLOOKUP($Z$2,'Kriter Ağırlık'!$A$1:$B$8,2,1))*X203*E203</f>
        <v>12.666666666666666</v>
      </c>
      <c r="AA203" s="40">
        <f t="shared" si="19"/>
        <v>67.422222222222231</v>
      </c>
      <c r="AB203" s="1">
        <v>5</v>
      </c>
      <c r="AC203" s="33">
        <f>VLOOKUP(AB203,'Kriter Ağırlık'!$A$12:$C$17,3,0)</f>
        <v>18.5</v>
      </c>
      <c r="AD203" s="1">
        <v>11</v>
      </c>
      <c r="AE203" s="33">
        <f>VLOOKUP(AD203,'Kriter Ağırlık'!$E$12:$G$24,3,0)</f>
        <v>1.157</v>
      </c>
      <c r="AF203" s="92">
        <f t="shared" si="20"/>
        <v>1443.1389555555559</v>
      </c>
      <c r="AG203" t="str">
        <f>VLOOKUP(A203,'Çalışan Listesi'!A:G,6,0)</f>
        <v>TEKNİSYEN</v>
      </c>
    </row>
    <row r="204" spans="1:33" x14ac:dyDescent="0.2">
      <c r="A204" s="2">
        <v>4263</v>
      </c>
      <c r="B204" s="3" t="s">
        <v>249</v>
      </c>
      <c r="C204" s="4">
        <v>43206</v>
      </c>
      <c r="D204" s="5">
        <f t="shared" si="17"/>
        <v>90</v>
      </c>
      <c r="E204" s="6">
        <f t="shared" si="18"/>
        <v>1</v>
      </c>
      <c r="F204" s="25" t="s">
        <v>421</v>
      </c>
      <c r="G204" s="3" t="s">
        <v>86</v>
      </c>
      <c r="H204" s="106" t="str">
        <f>VLOOKUP(A204,'Çalışan Listesi'!A:G,7,0)</f>
        <v>2.KADEME</v>
      </c>
      <c r="I204" s="65">
        <f>IFERROR(VLOOKUP(A204,'Kaizen Listesi'!A:H,8,0),0)</f>
        <v>0</v>
      </c>
      <c r="J204" s="65">
        <f>I204*VLOOKUP($I$2,'Kriter Ağırlık'!$A$1:$B$8,2,0)</f>
        <v>0</v>
      </c>
      <c r="K204" s="65">
        <f>IFERROR(VLOOKUP(A204,'Hata Kartı '!A:H,8,0),0)</f>
        <v>66.666666666666671</v>
      </c>
      <c r="L204" s="65">
        <f>K204*(VLOOKUP($K$2,'Kriter Ağırlık'!$A$1:$B$8,2,0))</f>
        <v>6.6666666666666679</v>
      </c>
      <c r="M204" s="65">
        <f>IFERROR(VLOOKUP(F204,'5S'!$B$8:$E$19,4,0),0)</f>
        <v>1</v>
      </c>
      <c r="N204" s="65">
        <f>VLOOKUP(M204,'5S'!$G$8:$I$14,3,1)*VLOOKUP($M$2,'Kriter Ağırlık'!$A$1:$B$8,2,0)*E204*X204</f>
        <v>8</v>
      </c>
      <c r="O204" s="1">
        <f>IFERROR(VLOOKUP(A204,Devamsızlıklar!A:K,10,0),0)</f>
        <v>0</v>
      </c>
      <c r="P204" s="40">
        <f>VLOOKUP(O204,Aralıklar!$A$2:$C$5,3,1)*VLOOKUP($O$2,'Kriter Ağırlık'!$A$1:$B$8,2,0)*E204*X204</f>
        <v>10</v>
      </c>
      <c r="Q204" s="1">
        <f>IFERROR(VLOOKUP(A204,Devamsızlıklar!A:K,8,0),0)</f>
        <v>0</v>
      </c>
      <c r="R204" s="33">
        <f>VLOOKUP(Q204,Aralıklar!$E$2:$G$5,3,1)</f>
        <v>1</v>
      </c>
      <c r="S204" s="33">
        <f>IFERROR(VLOOKUP(A204,Devamsızlıklar!A:K,9,0),0)</f>
        <v>0</v>
      </c>
      <c r="T204" s="33">
        <f>VLOOKUP(S204,Aralıklar!$I$2:$K$6,3,1)</f>
        <v>50</v>
      </c>
      <c r="U204" s="33">
        <f>IFERROR(VLOOKUP(A204,Devamsızlıklar!A:K,11,0),0)</f>
        <v>0</v>
      </c>
      <c r="V204" s="33">
        <f>VLOOKUP(U204,Aralıklar!$M$2:$O$6,3,1)</f>
        <v>50</v>
      </c>
      <c r="W204" s="40">
        <f>IF(X204=0,0,(T204+V204)*R204*VLOOKUP($W$2,'Kriter Ağırlık'!$A$1:$B$8,2,1)*E204)</f>
        <v>10</v>
      </c>
      <c r="X204" s="40">
        <f>IFERROR(VLOOKUP(A204,Devamsızlıklar!A:M,13,0),1)</f>
        <v>1</v>
      </c>
      <c r="Y204" s="40">
        <f>(OEE!$K$6*VLOOKUP($Y$2,'Kriter Ağırlık'!$A$1:$B$8,2,1))*X204*E204</f>
        <v>35</v>
      </c>
      <c r="Z204" s="40">
        <f>(TELEF!$I$10*VLOOKUP($Z$2,'Kriter Ağırlık'!$A$1:$B$8,2,1))*X204*E204</f>
        <v>15</v>
      </c>
      <c r="AA204" s="40">
        <f t="shared" si="19"/>
        <v>84.666666666666671</v>
      </c>
      <c r="AB204" s="1">
        <v>5</v>
      </c>
      <c r="AC204" s="33">
        <f>VLOOKUP(AB204,'Kriter Ağırlık'!$A$12:$C$17,3,0)</f>
        <v>18.5</v>
      </c>
      <c r="AD204" s="106">
        <v>4</v>
      </c>
      <c r="AE204" s="33">
        <f>VLOOKUP(AD204,'Kriter Ağırlık'!$E$12:$G$24,3,0)</f>
        <v>1.077</v>
      </c>
      <c r="AF204" s="92">
        <f t="shared" si="20"/>
        <v>1686.941</v>
      </c>
      <c r="AG204" t="str">
        <f>VLOOKUP(A204,'Çalışan Listesi'!A:G,6,0)</f>
        <v>OPERATÖR</v>
      </c>
    </row>
    <row r="205" spans="1:33" x14ac:dyDescent="0.2">
      <c r="A205" s="2">
        <v>4264</v>
      </c>
      <c r="B205" s="3" t="s">
        <v>250</v>
      </c>
      <c r="C205" s="4">
        <v>43206</v>
      </c>
      <c r="D205" s="5">
        <f t="shared" si="17"/>
        <v>90</v>
      </c>
      <c r="E205" s="6">
        <f t="shared" si="18"/>
        <v>1</v>
      </c>
      <c r="F205" s="25" t="s">
        <v>422</v>
      </c>
      <c r="G205" s="3" t="s">
        <v>52</v>
      </c>
      <c r="H205" s="106" t="str">
        <f>VLOOKUP(A205,'Çalışan Listesi'!A:G,7,0)</f>
        <v>2.KADEME</v>
      </c>
      <c r="I205" s="65">
        <f>IFERROR(VLOOKUP(A205,'Kaizen Listesi'!A:H,8,0),0)</f>
        <v>0</v>
      </c>
      <c r="J205" s="65">
        <f>I205*VLOOKUP($I$2,'Kriter Ağırlık'!$A$1:$B$8,2,0)</f>
        <v>0</v>
      </c>
      <c r="K205" s="65">
        <f>IFERROR(VLOOKUP(A205,'Hata Kartı '!A:H,8,0),0)</f>
        <v>0</v>
      </c>
      <c r="L205" s="65">
        <f>K205*(VLOOKUP($K$2,'Kriter Ağırlık'!$A$1:$B$8,2,0))</f>
        <v>0</v>
      </c>
      <c r="M205" s="65">
        <f>IFERROR(VLOOKUP(F205,'5S'!$B$8:$E$19,4,0),0)</f>
        <v>1</v>
      </c>
      <c r="N205" s="65">
        <f>VLOOKUP(M205,'5S'!$G$8:$I$14,3,1)*VLOOKUP($M$2,'Kriter Ağırlık'!$A$1:$B$8,2,0)*E205*X205</f>
        <v>7.4666666666666668</v>
      </c>
      <c r="O205" s="1">
        <f>IFERROR(VLOOKUP(A205,Devamsızlıklar!A:K,10,0),0)</f>
        <v>0</v>
      </c>
      <c r="P205" s="40">
        <f>VLOOKUP(O205,Aralıklar!$A$2:$C$5,3,1)*VLOOKUP($O$2,'Kriter Ağırlık'!$A$1:$B$8,2,0)*E205*X205</f>
        <v>9.3333333333333339</v>
      </c>
      <c r="Q205" s="1">
        <f>IFERROR(VLOOKUP(A205,Devamsızlıklar!A:K,8,0),0)</f>
        <v>0</v>
      </c>
      <c r="R205" s="33">
        <f>VLOOKUP(Q205,Aralıklar!$E$2:$G$5,3,1)</f>
        <v>1</v>
      </c>
      <c r="S205" s="33">
        <f>IFERROR(VLOOKUP(A205,Devamsızlıklar!A:K,9,0),0)</f>
        <v>0</v>
      </c>
      <c r="T205" s="33">
        <f>VLOOKUP(S205,Aralıklar!$I$2:$K$6,3,1)</f>
        <v>50</v>
      </c>
      <c r="U205" s="33">
        <f>IFERROR(VLOOKUP(A205,Devamsızlıklar!A:K,11,0),0)</f>
        <v>0</v>
      </c>
      <c r="V205" s="33">
        <f>VLOOKUP(U205,Aralıklar!$M$2:$O$6,3,1)</f>
        <v>50</v>
      </c>
      <c r="W205" s="40">
        <f>IF(X205=0,0,(T205+V205)*R205*VLOOKUP($W$2,'Kriter Ağırlık'!$A$1:$B$8,2,1)*E205)</f>
        <v>10</v>
      </c>
      <c r="X205" s="40">
        <f>IFERROR(VLOOKUP(A205,Devamsızlıklar!A:M,13,0),1)</f>
        <v>0.93333333333333335</v>
      </c>
      <c r="Y205" s="40">
        <f>(OEE!$K$6*VLOOKUP($Y$2,'Kriter Ağırlık'!$A$1:$B$8,2,1))*X205*E205</f>
        <v>32.666666666666664</v>
      </c>
      <c r="Z205" s="40">
        <f>(TELEF!$I$10*VLOOKUP($Z$2,'Kriter Ağırlık'!$A$1:$B$8,2,1))*X205*E205</f>
        <v>14</v>
      </c>
      <c r="AA205" s="40">
        <f t="shared" si="19"/>
        <v>73.466666666666669</v>
      </c>
      <c r="AB205" s="1">
        <v>5</v>
      </c>
      <c r="AC205" s="33">
        <f>VLOOKUP(AB205,'Kriter Ağırlık'!$A$12:$C$17,3,0)</f>
        <v>18.5</v>
      </c>
      <c r="AD205" s="106">
        <v>4</v>
      </c>
      <c r="AE205" s="33">
        <f>VLOOKUP(AD205,'Kriter Ağırlık'!$E$12:$G$24,3,0)</f>
        <v>1.077</v>
      </c>
      <c r="AF205" s="92">
        <f t="shared" si="20"/>
        <v>1463.7866000000001</v>
      </c>
      <c r="AG205" t="str">
        <f>VLOOKUP(A205,'Çalışan Listesi'!A:G,6,0)</f>
        <v>OPERATÖR</v>
      </c>
    </row>
    <row r="206" spans="1:33" x14ac:dyDescent="0.2">
      <c r="A206" s="2">
        <v>4284</v>
      </c>
      <c r="B206" s="3" t="s">
        <v>251</v>
      </c>
      <c r="C206" s="4">
        <v>43241</v>
      </c>
      <c r="D206" s="5">
        <f t="shared" si="17"/>
        <v>90</v>
      </c>
      <c r="E206" s="6">
        <f t="shared" si="18"/>
        <v>1</v>
      </c>
      <c r="F206" s="25" t="s">
        <v>429</v>
      </c>
      <c r="G206" s="3" t="s">
        <v>46</v>
      </c>
      <c r="H206" s="106" t="str">
        <f>VLOOKUP(A206,'Çalışan Listesi'!A:G,7,0)</f>
        <v>2.KADEME</v>
      </c>
      <c r="I206" s="65">
        <f>IFERROR(VLOOKUP(A206,'Kaizen Listesi'!A:H,8,0),0)</f>
        <v>0</v>
      </c>
      <c r="J206" s="65">
        <f>I206*VLOOKUP($I$2,'Kriter Ağırlık'!$A$1:$B$8,2,0)</f>
        <v>0</v>
      </c>
      <c r="K206" s="65">
        <f>IFERROR(VLOOKUP(A206,'Hata Kartı '!A:H,8,0),0)</f>
        <v>0</v>
      </c>
      <c r="L206" s="65">
        <f>K206*(VLOOKUP($K$2,'Kriter Ağırlık'!$A$1:$B$8,2,0))</f>
        <v>0</v>
      </c>
      <c r="M206" s="65">
        <f>IFERROR(VLOOKUP(F206,'5S'!$B$8:$E$19,4,0),0)</f>
        <v>1</v>
      </c>
      <c r="N206" s="65">
        <f>VLOOKUP(M206,'5S'!$G$8:$I$14,3,1)*VLOOKUP($M$2,'Kriter Ağırlık'!$A$1:$B$8,2,0)*E206*X206</f>
        <v>7.7333333333333334</v>
      </c>
      <c r="O206" s="1">
        <f>IFERROR(VLOOKUP(A206,Devamsızlıklar!A:K,10,0),0)</f>
        <v>0</v>
      </c>
      <c r="P206" s="40">
        <f>VLOOKUP(O206,Aralıklar!$A$2:$C$5,3,1)*VLOOKUP($O$2,'Kriter Ağırlık'!$A$1:$B$8,2,0)*E206*X206</f>
        <v>9.6666666666666661</v>
      </c>
      <c r="Q206" s="1">
        <f>IFERROR(VLOOKUP(A206,Devamsızlıklar!A:K,8,0),0)</f>
        <v>0</v>
      </c>
      <c r="R206" s="33">
        <f>VLOOKUP(Q206,Aralıklar!$E$2:$G$5,3,1)</f>
        <v>1</v>
      </c>
      <c r="S206" s="33">
        <f>IFERROR(VLOOKUP(A206,Devamsızlıklar!A:K,9,0),0)</f>
        <v>0</v>
      </c>
      <c r="T206" s="33">
        <f>VLOOKUP(S206,Aralıklar!$I$2:$K$6,3,1)</f>
        <v>50</v>
      </c>
      <c r="U206" s="33">
        <f>IFERROR(VLOOKUP(A206,Devamsızlıklar!A:K,11,0),0)</f>
        <v>3</v>
      </c>
      <c r="V206" s="33">
        <f>VLOOKUP(U206,Aralıklar!$M$2:$O$6,3,1)</f>
        <v>0</v>
      </c>
      <c r="W206" s="40">
        <f>IF(X206=0,0,(T206+V206)*R206*VLOOKUP($W$2,'Kriter Ağırlık'!$A$1:$B$8,2,1)*E206)</f>
        <v>5</v>
      </c>
      <c r="X206" s="40">
        <f>IFERROR(VLOOKUP(A206,Devamsızlıklar!A:M,13,0),1)</f>
        <v>0.96666666666666667</v>
      </c>
      <c r="Y206" s="40">
        <f>(OEE!$K$6*VLOOKUP($Y$2,'Kriter Ağırlık'!$A$1:$B$8,2,1))*X206*E206</f>
        <v>33.833333333333336</v>
      </c>
      <c r="Z206" s="40">
        <f>(TELEF!$I$10*VLOOKUP($Z$2,'Kriter Ağırlık'!$A$1:$B$8,2,1))*X206*E206</f>
        <v>14.5</v>
      </c>
      <c r="AA206" s="40">
        <f t="shared" si="19"/>
        <v>70.733333333333334</v>
      </c>
      <c r="AB206" s="1">
        <v>5</v>
      </c>
      <c r="AC206" s="33">
        <f>VLOOKUP(AB206,'Kriter Ağırlık'!$A$12:$C$17,3,0)</f>
        <v>18.5</v>
      </c>
      <c r="AD206" s="106">
        <v>4</v>
      </c>
      <c r="AE206" s="33">
        <f>VLOOKUP(AD206,'Kriter Ağırlık'!$E$12:$G$24,3,0)</f>
        <v>1.077</v>
      </c>
      <c r="AF206" s="92">
        <f t="shared" si="20"/>
        <v>1409.3262999999999</v>
      </c>
      <c r="AG206" t="str">
        <f>VLOOKUP(A206,'Çalışan Listesi'!A:G,6,0)</f>
        <v>OPERATÖR</v>
      </c>
    </row>
    <row r="207" spans="1:33" x14ac:dyDescent="0.2">
      <c r="A207" s="2">
        <v>4285</v>
      </c>
      <c r="B207" s="3" t="s">
        <v>252</v>
      </c>
      <c r="C207" s="4">
        <v>43241</v>
      </c>
      <c r="D207" s="5">
        <f t="shared" si="17"/>
        <v>90</v>
      </c>
      <c r="E207" s="6">
        <f t="shared" si="18"/>
        <v>1</v>
      </c>
      <c r="F207" s="25" t="s">
        <v>426</v>
      </c>
      <c r="G207" s="3" t="s">
        <v>158</v>
      </c>
      <c r="H207" s="106" t="str">
        <f>VLOOKUP(A207,'Çalışan Listesi'!A:G,7,0)</f>
        <v>3.KADEME</v>
      </c>
      <c r="I207" s="65">
        <f>IFERROR(VLOOKUP(A207,'Kaizen Listesi'!A:H,8,0),0)</f>
        <v>33.333333333333336</v>
      </c>
      <c r="J207" s="65">
        <f>I207*VLOOKUP($I$2,'Kriter Ağırlık'!$A$1:$B$8,2,0)</f>
        <v>4</v>
      </c>
      <c r="K207" s="65">
        <f>IFERROR(VLOOKUP(A207,'Hata Kartı '!A:H,8,0),0)</f>
        <v>0</v>
      </c>
      <c r="L207" s="65">
        <f>K207*(VLOOKUP($K$2,'Kriter Ağırlık'!$A$1:$B$8,2,0))</f>
        <v>0</v>
      </c>
      <c r="M207" s="65">
        <f>IFERROR(VLOOKUP(F207,'5S'!$B$8:$E$19,4,0),0)</f>
        <v>1</v>
      </c>
      <c r="N207" s="65">
        <f>VLOOKUP(M207,'5S'!$G$8:$I$14,3,1)*VLOOKUP($M$2,'Kriter Ağırlık'!$A$1:$B$8,2,0)*E207*X207</f>
        <v>8</v>
      </c>
      <c r="O207" s="1">
        <f>IFERROR(VLOOKUP(A207,Devamsızlıklar!A:K,10,0),0)</f>
        <v>0</v>
      </c>
      <c r="P207" s="40">
        <f>VLOOKUP(O207,Aralıklar!$A$2:$C$5,3,1)*VLOOKUP($O$2,'Kriter Ağırlık'!$A$1:$B$8,2,0)*E207*X207</f>
        <v>10</v>
      </c>
      <c r="Q207" s="1">
        <f>IFERROR(VLOOKUP(A207,Devamsızlıklar!A:K,8,0),0)</f>
        <v>0</v>
      </c>
      <c r="R207" s="33">
        <f>VLOOKUP(Q207,Aralıklar!$E$2:$G$5,3,1)</f>
        <v>1</v>
      </c>
      <c r="S207" s="33">
        <f>IFERROR(VLOOKUP(A207,Devamsızlıklar!A:K,9,0),0)</f>
        <v>0</v>
      </c>
      <c r="T207" s="33">
        <f>VLOOKUP(S207,Aralıklar!$I$2:$K$6,3,1)</f>
        <v>50</v>
      </c>
      <c r="U207" s="33">
        <f>IFERROR(VLOOKUP(A207,Devamsızlıklar!A:K,11,0),0)</f>
        <v>0</v>
      </c>
      <c r="V207" s="33">
        <f>VLOOKUP(U207,Aralıklar!$M$2:$O$6,3,1)</f>
        <v>50</v>
      </c>
      <c r="W207" s="40">
        <f>IF(X207=0,0,(T207+V207)*R207*VLOOKUP($W$2,'Kriter Ağırlık'!$A$1:$B$8,2,1)*E207)</f>
        <v>10</v>
      </c>
      <c r="X207" s="40">
        <f>IFERROR(VLOOKUP(A207,Devamsızlıklar!A:M,13,0),1)</f>
        <v>1</v>
      </c>
      <c r="Y207" s="40">
        <f>(OEE!$K$6*VLOOKUP($Y$2,'Kriter Ağırlık'!$A$1:$B$8,2,1))*X207*E207</f>
        <v>35</v>
      </c>
      <c r="Z207" s="40">
        <f>(TELEF!$I$10*VLOOKUP($Z$2,'Kriter Ağırlık'!$A$1:$B$8,2,1))*X207*E207</f>
        <v>15</v>
      </c>
      <c r="AA207" s="40">
        <f t="shared" si="19"/>
        <v>82</v>
      </c>
      <c r="AB207" s="1">
        <v>5</v>
      </c>
      <c r="AC207" s="33">
        <f>VLOOKUP(AB207,'Kriter Ağırlık'!$A$12:$C$17,3,0)</f>
        <v>18.5</v>
      </c>
      <c r="AD207" s="106">
        <v>3</v>
      </c>
      <c r="AE207" s="33">
        <f>VLOOKUP(AD207,'Kriter Ağırlık'!$E$12:$G$24,3,0)</f>
        <v>1.1499999999999999</v>
      </c>
      <c r="AF207" s="92">
        <f t="shared" si="20"/>
        <v>1744.55</v>
      </c>
      <c r="AG207" t="str">
        <f>VLOOKUP(A207,'Çalışan Listesi'!A:G,6,0)</f>
        <v>OPERATÖR</v>
      </c>
    </row>
    <row r="208" spans="1:33" x14ac:dyDescent="0.2">
      <c r="A208" s="2">
        <v>4295</v>
      </c>
      <c r="B208" s="3" t="s">
        <v>253</v>
      </c>
      <c r="C208" s="4">
        <v>43248</v>
      </c>
      <c r="D208" s="5">
        <f t="shared" si="17"/>
        <v>90</v>
      </c>
      <c r="E208" s="6">
        <f t="shared" si="18"/>
        <v>1</v>
      </c>
      <c r="F208" s="25" t="s">
        <v>421</v>
      </c>
      <c r="G208" s="3" t="s">
        <v>10</v>
      </c>
      <c r="H208" s="106" t="str">
        <f>VLOOKUP(A208,'Çalışan Listesi'!A:G,7,0)</f>
        <v>2.KADEME</v>
      </c>
      <c r="I208" s="65">
        <f>IFERROR(VLOOKUP(A208,'Kaizen Listesi'!A:H,8,0),0)</f>
        <v>0</v>
      </c>
      <c r="J208" s="65">
        <f>I208*VLOOKUP($I$2,'Kriter Ağırlık'!$A$1:$B$8,2,0)</f>
        <v>0</v>
      </c>
      <c r="K208" s="65">
        <f>IFERROR(VLOOKUP(A208,'Hata Kartı '!A:H,8,0),0)</f>
        <v>16.666666666666668</v>
      </c>
      <c r="L208" s="65">
        <f>K208*(VLOOKUP($K$2,'Kriter Ağırlık'!$A$1:$B$8,2,0))</f>
        <v>1.666666666666667</v>
      </c>
      <c r="M208" s="65">
        <f>IFERROR(VLOOKUP(F208,'5S'!$B$8:$E$19,4,0),0)</f>
        <v>1</v>
      </c>
      <c r="N208" s="65">
        <f>VLOOKUP(M208,'5S'!$G$8:$I$14,3,1)*VLOOKUP($M$2,'Kriter Ağırlık'!$A$1:$B$8,2,0)*E208*X208</f>
        <v>7.7333333333333334</v>
      </c>
      <c r="O208" s="1">
        <f>IFERROR(VLOOKUP(A208,Devamsızlıklar!A:K,10,0),0)</f>
        <v>0</v>
      </c>
      <c r="P208" s="40">
        <f>VLOOKUP(O208,Aralıklar!$A$2:$C$5,3,1)*VLOOKUP($O$2,'Kriter Ağırlık'!$A$1:$B$8,2,0)*E208*X208</f>
        <v>9.6666666666666661</v>
      </c>
      <c r="Q208" s="1">
        <f>IFERROR(VLOOKUP(A208,Devamsızlıklar!A:K,8,0),0)</f>
        <v>0</v>
      </c>
      <c r="R208" s="33">
        <f>VLOOKUP(Q208,Aralıklar!$E$2:$G$5,3,1)</f>
        <v>1</v>
      </c>
      <c r="S208" s="33">
        <f>IFERROR(VLOOKUP(A208,Devamsızlıklar!A:K,9,0),0)</f>
        <v>3</v>
      </c>
      <c r="T208" s="33">
        <f>VLOOKUP(S208,Aralıklar!$I$2:$K$6,3,1)</f>
        <v>50</v>
      </c>
      <c r="U208" s="33">
        <f>IFERROR(VLOOKUP(A208,Devamsızlıklar!A:K,11,0),0)</f>
        <v>0</v>
      </c>
      <c r="V208" s="33">
        <f>VLOOKUP(U208,Aralıklar!$M$2:$O$6,3,1)</f>
        <v>50</v>
      </c>
      <c r="W208" s="40">
        <f>IF(X208=0,0,(T208+V208)*R208*VLOOKUP($W$2,'Kriter Ağırlık'!$A$1:$B$8,2,1)*E208)</f>
        <v>10</v>
      </c>
      <c r="X208" s="40">
        <f>IFERROR(VLOOKUP(A208,Devamsızlıklar!A:M,13,0),1)</f>
        <v>0.96666666666666667</v>
      </c>
      <c r="Y208" s="40">
        <f>(OEE!$K$6*VLOOKUP($Y$2,'Kriter Ağırlık'!$A$1:$B$8,2,1))*X208*E208</f>
        <v>33.833333333333336</v>
      </c>
      <c r="Z208" s="40">
        <f>(TELEF!$I$10*VLOOKUP($Z$2,'Kriter Ağırlık'!$A$1:$B$8,2,1))*X208*E208</f>
        <v>14.5</v>
      </c>
      <c r="AA208" s="40">
        <f t="shared" si="19"/>
        <v>77.400000000000006</v>
      </c>
      <c r="AB208" s="1">
        <v>5</v>
      </c>
      <c r="AC208" s="33">
        <f>VLOOKUP(AB208,'Kriter Ağırlık'!$A$12:$C$17,3,0)</f>
        <v>18.5</v>
      </c>
      <c r="AD208" s="106">
        <v>4</v>
      </c>
      <c r="AE208" s="33">
        <f>VLOOKUP(AD208,'Kriter Ağırlık'!$E$12:$G$24,3,0)</f>
        <v>1.077</v>
      </c>
      <c r="AF208" s="92">
        <f t="shared" si="20"/>
        <v>1542.1563000000001</v>
      </c>
      <c r="AG208" t="str">
        <f>VLOOKUP(A208,'Çalışan Listesi'!A:G,6,0)</f>
        <v>OPERATÖR</v>
      </c>
    </row>
    <row r="209" spans="1:33" x14ac:dyDescent="0.2">
      <c r="A209" s="2">
        <v>4298</v>
      </c>
      <c r="B209" s="3" t="s">
        <v>254</v>
      </c>
      <c r="C209" s="4">
        <v>43248</v>
      </c>
      <c r="D209" s="5">
        <f t="shared" si="17"/>
        <v>90</v>
      </c>
      <c r="E209" s="6">
        <f t="shared" si="18"/>
        <v>1</v>
      </c>
      <c r="F209" s="25"/>
      <c r="G209" s="3"/>
      <c r="H209" s="106" t="str">
        <f>VLOOKUP(A209,'Çalışan Listesi'!A:G,7,0)</f>
        <v>2.KADEME</v>
      </c>
      <c r="I209" s="65">
        <f>IFERROR(VLOOKUP(A209,'Kaizen Listesi'!A:H,8,0),0)</f>
        <v>0</v>
      </c>
      <c r="J209" s="65">
        <f>I209*VLOOKUP($I$2,'Kriter Ağırlık'!$A$1:$B$8,2,0)</f>
        <v>0</v>
      </c>
      <c r="K209" s="65">
        <f>IFERROR(VLOOKUP(A209,'Hata Kartı '!A:H,8,0),0)</f>
        <v>0</v>
      </c>
      <c r="L209" s="65">
        <f>K209*(VLOOKUP($K$2,'Kriter Ağırlık'!$A$1:$B$8,2,0))</f>
        <v>0</v>
      </c>
      <c r="M209" s="65">
        <f>IFERROR(VLOOKUP(F209,'5S'!$B$8:$E$19,4,0),0)</f>
        <v>0</v>
      </c>
      <c r="N209" s="65">
        <f>VLOOKUP(M209,'5S'!$G$8:$I$14,3,1)*VLOOKUP($M$2,'Kriter Ağırlık'!$A$1:$B$8,2,0)*E209*X209</f>
        <v>0</v>
      </c>
      <c r="O209" s="1">
        <f>IFERROR(VLOOKUP(A209,Devamsızlıklar!A:K,10,0),0)</f>
        <v>0</v>
      </c>
      <c r="P209" s="40">
        <f>VLOOKUP(O209,Aralıklar!$A$2:$C$5,3,1)*VLOOKUP($O$2,'Kriter Ağırlık'!$A$1:$B$8,2,0)*E209*X209</f>
        <v>9.8888888888888893</v>
      </c>
      <c r="Q209" s="1">
        <f>IFERROR(VLOOKUP(A209,Devamsızlıklar!A:K,8,0),0)</f>
        <v>0</v>
      </c>
      <c r="R209" s="33">
        <f>VLOOKUP(Q209,Aralıklar!$E$2:$G$5,3,1)</f>
        <v>1</v>
      </c>
      <c r="S209" s="33">
        <f>IFERROR(VLOOKUP(A209,Devamsızlıklar!A:K,9,0),0)</f>
        <v>1</v>
      </c>
      <c r="T209" s="33">
        <f>VLOOKUP(S209,Aralıklar!$I$2:$K$6,3,1)</f>
        <v>50</v>
      </c>
      <c r="U209" s="33">
        <f>IFERROR(VLOOKUP(A209,Devamsızlıklar!A:K,11,0),0)</f>
        <v>0</v>
      </c>
      <c r="V209" s="33">
        <f>VLOOKUP(U209,Aralıklar!$M$2:$O$6,3,1)</f>
        <v>50</v>
      </c>
      <c r="W209" s="40">
        <f>IF(X209=0,0,(T209+V209)*R209*VLOOKUP($W$2,'Kriter Ağırlık'!$A$1:$B$8,2,1)*E209)</f>
        <v>10</v>
      </c>
      <c r="X209" s="40">
        <f>IFERROR(VLOOKUP(A209,Devamsızlıklar!A:M,13,0),1)</f>
        <v>0.98888888888888893</v>
      </c>
      <c r="Y209" s="40">
        <f>(OEE!$K$6*VLOOKUP($Y$2,'Kriter Ağırlık'!$A$1:$B$8,2,1))*X209*E209</f>
        <v>34.611111111111114</v>
      </c>
      <c r="Z209" s="40">
        <f>(TELEF!$I$10*VLOOKUP($Z$2,'Kriter Ağırlık'!$A$1:$B$8,2,1))*X209*E209</f>
        <v>14.833333333333334</v>
      </c>
      <c r="AA209" s="40">
        <f t="shared" si="19"/>
        <v>69.333333333333329</v>
      </c>
      <c r="AB209" s="1">
        <v>5</v>
      </c>
      <c r="AC209" s="33">
        <f>VLOOKUP(AB209,'Kriter Ağırlık'!$A$12:$C$17,3,0)</f>
        <v>18.5</v>
      </c>
      <c r="AD209" s="106">
        <v>4</v>
      </c>
      <c r="AE209" s="33">
        <f>VLOOKUP(AD209,'Kriter Ağırlık'!$E$12:$G$24,3,0)</f>
        <v>1.077</v>
      </c>
      <c r="AF209" s="92">
        <f t="shared" si="20"/>
        <v>1381.4319999999998</v>
      </c>
      <c r="AG209" t="str">
        <f>VLOOKUP(A209,'Çalışan Listesi'!A:G,6,0)</f>
        <v>OPERATÖR</v>
      </c>
    </row>
    <row r="210" spans="1:33" x14ac:dyDescent="0.2">
      <c r="A210" s="2">
        <v>4302</v>
      </c>
      <c r="B210" s="3" t="s">
        <v>255</v>
      </c>
      <c r="C210" s="4">
        <v>43255</v>
      </c>
      <c r="D210" s="5">
        <f t="shared" si="17"/>
        <v>90</v>
      </c>
      <c r="E210" s="6">
        <f t="shared" si="18"/>
        <v>1</v>
      </c>
      <c r="F210" s="25" t="s">
        <v>426</v>
      </c>
      <c r="G210" s="3" t="s">
        <v>158</v>
      </c>
      <c r="H210" s="106" t="str">
        <f>VLOOKUP(A210,'Çalışan Listesi'!A:G,7,0)</f>
        <v>3.KADEME</v>
      </c>
      <c r="I210" s="65">
        <f>IFERROR(VLOOKUP(A210,'Kaizen Listesi'!A:H,8,0),0)</f>
        <v>0</v>
      </c>
      <c r="J210" s="65">
        <f>I210*VLOOKUP($I$2,'Kriter Ağırlık'!$A$1:$B$8,2,0)</f>
        <v>0</v>
      </c>
      <c r="K210" s="65">
        <f>IFERROR(VLOOKUP(A210,'Hata Kartı '!A:H,8,0),0)</f>
        <v>0</v>
      </c>
      <c r="L210" s="65">
        <f>K210*(VLOOKUP($K$2,'Kriter Ağırlık'!$A$1:$B$8,2,0))</f>
        <v>0</v>
      </c>
      <c r="M210" s="65">
        <f>IFERROR(VLOOKUP(F210,'5S'!$B$8:$E$19,4,0),0)</f>
        <v>1</v>
      </c>
      <c r="N210" s="65">
        <f>VLOOKUP(M210,'5S'!$G$8:$I$14,3,1)*VLOOKUP($M$2,'Kriter Ağırlık'!$A$1:$B$8,2,0)*E210*X210</f>
        <v>8</v>
      </c>
      <c r="O210" s="1">
        <f>IFERROR(VLOOKUP(A210,Devamsızlıklar!A:K,10,0),0)</f>
        <v>0</v>
      </c>
      <c r="P210" s="40">
        <f>VLOOKUP(O210,Aralıklar!$A$2:$C$5,3,1)*VLOOKUP($O$2,'Kriter Ağırlık'!$A$1:$B$8,2,0)*E210*X210</f>
        <v>10</v>
      </c>
      <c r="Q210" s="1">
        <f>IFERROR(VLOOKUP(A210,Devamsızlıklar!A:K,8,0),0)</f>
        <v>0</v>
      </c>
      <c r="R210" s="33">
        <f>VLOOKUP(Q210,Aralıklar!$E$2:$G$5,3,1)</f>
        <v>1</v>
      </c>
      <c r="S210" s="33">
        <f>IFERROR(VLOOKUP(A210,Devamsızlıklar!A:K,9,0),0)</f>
        <v>0</v>
      </c>
      <c r="T210" s="33">
        <f>VLOOKUP(S210,Aralıklar!$I$2:$K$6,3,1)</f>
        <v>50</v>
      </c>
      <c r="U210" s="33">
        <f>IFERROR(VLOOKUP(A210,Devamsızlıklar!A:K,11,0),0)</f>
        <v>0</v>
      </c>
      <c r="V210" s="33">
        <f>VLOOKUP(U210,Aralıklar!$M$2:$O$6,3,1)</f>
        <v>50</v>
      </c>
      <c r="W210" s="40">
        <f>IF(X210=0,0,(T210+V210)*R210*VLOOKUP($W$2,'Kriter Ağırlık'!$A$1:$B$8,2,1)*E210)</f>
        <v>10</v>
      </c>
      <c r="X210" s="40">
        <f>IFERROR(VLOOKUP(A210,Devamsızlıklar!A:M,13,0),1)</f>
        <v>1</v>
      </c>
      <c r="Y210" s="40">
        <f>(OEE!$K$6*VLOOKUP($Y$2,'Kriter Ağırlık'!$A$1:$B$8,2,1))*X210*E210</f>
        <v>35</v>
      </c>
      <c r="Z210" s="40">
        <f>(TELEF!$I$10*VLOOKUP($Z$2,'Kriter Ağırlık'!$A$1:$B$8,2,1))*X210*E210</f>
        <v>15</v>
      </c>
      <c r="AA210" s="40">
        <f t="shared" si="19"/>
        <v>78</v>
      </c>
      <c r="AB210" s="1">
        <v>5</v>
      </c>
      <c r="AC210" s="33">
        <f>VLOOKUP(AB210,'Kriter Ağırlık'!$A$12:$C$17,3,0)</f>
        <v>18.5</v>
      </c>
      <c r="AD210" s="106">
        <v>3</v>
      </c>
      <c r="AE210" s="33">
        <f>VLOOKUP(AD210,'Kriter Ağırlık'!$E$12:$G$24,3,0)</f>
        <v>1.1499999999999999</v>
      </c>
      <c r="AF210" s="92">
        <f t="shared" si="20"/>
        <v>1659.4499999999998</v>
      </c>
      <c r="AG210" t="str">
        <f>VLOOKUP(A210,'Çalışan Listesi'!A:G,6,0)</f>
        <v>OPERATÖR</v>
      </c>
    </row>
    <row r="211" spans="1:33" x14ac:dyDescent="0.2">
      <c r="A211" s="2">
        <v>4308</v>
      </c>
      <c r="B211" s="3" t="s">
        <v>256</v>
      </c>
      <c r="C211" s="4">
        <v>43262</v>
      </c>
      <c r="D211" s="5">
        <f t="shared" si="17"/>
        <v>90</v>
      </c>
      <c r="E211" s="6">
        <f t="shared" si="18"/>
        <v>1</v>
      </c>
      <c r="F211" s="25" t="s">
        <v>421</v>
      </c>
      <c r="G211" s="3" t="s">
        <v>61</v>
      </c>
      <c r="H211" s="106" t="str">
        <f>VLOOKUP(A211,'Çalışan Listesi'!A:G,7,0)</f>
        <v>2.KADEME</v>
      </c>
      <c r="I211" s="65">
        <f>IFERROR(VLOOKUP(A211,'Kaizen Listesi'!A:H,8,0),0)</f>
        <v>0</v>
      </c>
      <c r="J211" s="65">
        <f>I211*VLOOKUP($I$2,'Kriter Ağırlık'!$A$1:$B$8,2,0)</f>
        <v>0</v>
      </c>
      <c r="K211" s="65">
        <f>IFERROR(VLOOKUP(A211,'Hata Kartı '!A:H,8,0),0)</f>
        <v>33.333333333333336</v>
      </c>
      <c r="L211" s="65">
        <f>K211*(VLOOKUP($K$2,'Kriter Ağırlık'!$A$1:$B$8,2,0))</f>
        <v>3.3333333333333339</v>
      </c>
      <c r="M211" s="65">
        <f>IFERROR(VLOOKUP(F211,'5S'!$B$8:$E$19,4,0),0)</f>
        <v>1</v>
      </c>
      <c r="N211" s="65">
        <f>VLOOKUP(M211,'5S'!$G$8:$I$14,3,1)*VLOOKUP($M$2,'Kriter Ağırlık'!$A$1:$B$8,2,0)*E211*X211</f>
        <v>8</v>
      </c>
      <c r="O211" s="1">
        <f>IFERROR(VLOOKUP(A211,Devamsızlıklar!A:K,10,0),0)</f>
        <v>0</v>
      </c>
      <c r="P211" s="40">
        <f>VLOOKUP(O211,Aralıklar!$A$2:$C$5,3,1)*VLOOKUP($O$2,'Kriter Ağırlık'!$A$1:$B$8,2,0)*E211*X211</f>
        <v>10</v>
      </c>
      <c r="Q211" s="1">
        <f>IFERROR(VLOOKUP(A211,Devamsızlıklar!A:K,8,0),0)</f>
        <v>0</v>
      </c>
      <c r="R211" s="33">
        <f>VLOOKUP(Q211,Aralıklar!$E$2:$G$5,3,1)</f>
        <v>1</v>
      </c>
      <c r="S211" s="33">
        <f>IFERROR(VLOOKUP(A211,Devamsızlıklar!A:K,9,0),0)</f>
        <v>0</v>
      </c>
      <c r="T211" s="33">
        <f>VLOOKUP(S211,Aralıklar!$I$2:$K$6,3,1)</f>
        <v>50</v>
      </c>
      <c r="U211" s="33">
        <f>IFERROR(VLOOKUP(A211,Devamsızlıklar!A:K,11,0),0)</f>
        <v>0</v>
      </c>
      <c r="V211" s="33">
        <f>VLOOKUP(U211,Aralıklar!$M$2:$O$6,3,1)</f>
        <v>50</v>
      </c>
      <c r="W211" s="40">
        <f>IF(X211=0,0,(T211+V211)*R211*VLOOKUP($W$2,'Kriter Ağırlık'!$A$1:$B$8,2,1)*E211)</f>
        <v>10</v>
      </c>
      <c r="X211" s="40">
        <f>IFERROR(VLOOKUP(A211,Devamsızlıklar!A:M,13,0),1)</f>
        <v>1</v>
      </c>
      <c r="Y211" s="40">
        <f>(OEE!$K$6*VLOOKUP($Y$2,'Kriter Ağırlık'!$A$1:$B$8,2,1))*X211*E211</f>
        <v>35</v>
      </c>
      <c r="Z211" s="40">
        <f>(TELEF!$I$10*VLOOKUP($Z$2,'Kriter Ağırlık'!$A$1:$B$8,2,1))*X211*E211</f>
        <v>15</v>
      </c>
      <c r="AA211" s="40">
        <f t="shared" si="19"/>
        <v>81.333333333333343</v>
      </c>
      <c r="AB211" s="1">
        <v>5</v>
      </c>
      <c r="AC211" s="33">
        <f>VLOOKUP(AB211,'Kriter Ağırlık'!$A$12:$C$17,3,0)</f>
        <v>18.5</v>
      </c>
      <c r="AD211" s="106">
        <v>4</v>
      </c>
      <c r="AE211" s="33">
        <f>VLOOKUP(AD211,'Kriter Ağırlık'!$E$12:$G$24,3,0)</f>
        <v>1.077</v>
      </c>
      <c r="AF211" s="92">
        <f t="shared" si="20"/>
        <v>1620.5260000000001</v>
      </c>
      <c r="AG211" t="str">
        <f>VLOOKUP(A211,'Çalışan Listesi'!A:G,6,0)</f>
        <v>OPERATÖR</v>
      </c>
    </row>
    <row r="212" spans="1:33" x14ac:dyDescent="0.2">
      <c r="A212" s="2">
        <v>4312</v>
      </c>
      <c r="B212" s="3" t="s">
        <v>257</v>
      </c>
      <c r="C212" s="4">
        <v>43269</v>
      </c>
      <c r="D212" s="5">
        <f t="shared" si="17"/>
        <v>90</v>
      </c>
      <c r="E212" s="6">
        <f t="shared" si="18"/>
        <v>1</v>
      </c>
      <c r="F212" s="25" t="s">
        <v>421</v>
      </c>
      <c r="G212" s="3" t="s">
        <v>86</v>
      </c>
      <c r="H212" s="106" t="str">
        <f>VLOOKUP(A212,'Çalışan Listesi'!A:G,7,0)</f>
        <v>2.KADEME</v>
      </c>
      <c r="I212" s="65">
        <f>IFERROR(VLOOKUP(A212,'Kaizen Listesi'!A:H,8,0),0)</f>
        <v>0</v>
      </c>
      <c r="J212" s="65">
        <f>I212*VLOOKUP($I$2,'Kriter Ağırlık'!$A$1:$B$8,2,0)</f>
        <v>0</v>
      </c>
      <c r="K212" s="65">
        <f>IFERROR(VLOOKUP(A212,'Hata Kartı '!A:H,8,0),0)</f>
        <v>66.666666666666671</v>
      </c>
      <c r="L212" s="65">
        <f>K212*(VLOOKUP($K$2,'Kriter Ağırlık'!$A$1:$B$8,2,0))</f>
        <v>6.6666666666666679</v>
      </c>
      <c r="M212" s="65">
        <f>IFERROR(VLOOKUP(F212,'5S'!$B$8:$E$19,4,0),0)</f>
        <v>1</v>
      </c>
      <c r="N212" s="65">
        <f>VLOOKUP(M212,'5S'!$G$8:$I$14,3,1)*VLOOKUP($M$2,'Kriter Ağırlık'!$A$1:$B$8,2,0)*E212*X212</f>
        <v>8</v>
      </c>
      <c r="O212" s="1">
        <f>IFERROR(VLOOKUP(A212,Devamsızlıklar!A:K,10,0),0)</f>
        <v>0</v>
      </c>
      <c r="P212" s="40">
        <f>VLOOKUP(O212,Aralıklar!$A$2:$C$5,3,1)*VLOOKUP($O$2,'Kriter Ağırlık'!$A$1:$B$8,2,0)*E212*X212</f>
        <v>10</v>
      </c>
      <c r="Q212" s="1">
        <f>IFERROR(VLOOKUP(A212,Devamsızlıklar!A:K,8,0),0)</f>
        <v>0</v>
      </c>
      <c r="R212" s="33">
        <f>VLOOKUP(Q212,Aralıklar!$E$2:$G$5,3,1)</f>
        <v>1</v>
      </c>
      <c r="S212" s="33">
        <f>IFERROR(VLOOKUP(A212,Devamsızlıklar!A:K,9,0),0)</f>
        <v>0</v>
      </c>
      <c r="T212" s="33">
        <f>VLOOKUP(S212,Aralıklar!$I$2:$K$6,3,1)</f>
        <v>50</v>
      </c>
      <c r="U212" s="33">
        <f>IFERROR(VLOOKUP(A212,Devamsızlıklar!A:K,11,0),0)</f>
        <v>0</v>
      </c>
      <c r="V212" s="33">
        <f>VLOOKUP(U212,Aralıklar!$M$2:$O$6,3,1)</f>
        <v>50</v>
      </c>
      <c r="W212" s="40">
        <f>IF(X212=0,0,(T212+V212)*R212*VLOOKUP($W$2,'Kriter Ağırlık'!$A$1:$B$8,2,1)*E212)</f>
        <v>10</v>
      </c>
      <c r="X212" s="40">
        <f>IFERROR(VLOOKUP(A212,Devamsızlıklar!A:M,13,0),1)</f>
        <v>1</v>
      </c>
      <c r="Y212" s="40">
        <f>(OEE!$K$6*VLOOKUP($Y$2,'Kriter Ağırlık'!$A$1:$B$8,2,1))*X212*E212</f>
        <v>35</v>
      </c>
      <c r="Z212" s="40">
        <f>(TELEF!$I$10*VLOOKUP($Z$2,'Kriter Ağırlık'!$A$1:$B$8,2,1))*X212*E212</f>
        <v>15</v>
      </c>
      <c r="AA212" s="40">
        <f t="shared" si="19"/>
        <v>84.666666666666671</v>
      </c>
      <c r="AB212" s="1">
        <v>5</v>
      </c>
      <c r="AC212" s="33">
        <f>VLOOKUP(AB212,'Kriter Ağırlık'!$A$12:$C$17,3,0)</f>
        <v>18.5</v>
      </c>
      <c r="AD212" s="106">
        <v>4</v>
      </c>
      <c r="AE212" s="33">
        <f>VLOOKUP(AD212,'Kriter Ağırlık'!$E$12:$G$24,3,0)</f>
        <v>1.077</v>
      </c>
      <c r="AF212" s="92">
        <f t="shared" si="20"/>
        <v>1686.941</v>
      </c>
      <c r="AG212" t="str">
        <f>VLOOKUP(A212,'Çalışan Listesi'!A:G,6,0)</f>
        <v>OPERATÖR</v>
      </c>
    </row>
    <row r="213" spans="1:33" x14ac:dyDescent="0.2">
      <c r="A213" s="2">
        <v>4320</v>
      </c>
      <c r="B213" s="3" t="s">
        <v>258</v>
      </c>
      <c r="C213" s="4">
        <v>43276</v>
      </c>
      <c r="D213" s="5">
        <f t="shared" si="17"/>
        <v>90</v>
      </c>
      <c r="E213" s="6">
        <f t="shared" si="18"/>
        <v>1</v>
      </c>
      <c r="F213" s="25" t="s">
        <v>429</v>
      </c>
      <c r="G213" s="3" t="s">
        <v>46</v>
      </c>
      <c r="H213" s="106" t="str">
        <f>VLOOKUP(A213,'Çalışan Listesi'!A:G,7,0)</f>
        <v>2.KADEME</v>
      </c>
      <c r="I213" s="65">
        <f>IFERROR(VLOOKUP(A213,'Kaizen Listesi'!A:H,8,0),0)</f>
        <v>0</v>
      </c>
      <c r="J213" s="65">
        <f>I213*VLOOKUP($I$2,'Kriter Ağırlık'!$A$1:$B$8,2,0)</f>
        <v>0</v>
      </c>
      <c r="K213" s="65">
        <f>IFERROR(VLOOKUP(A213,'Hata Kartı '!A:H,8,0),0)</f>
        <v>0</v>
      </c>
      <c r="L213" s="65">
        <f>K213*(VLOOKUP($K$2,'Kriter Ağırlık'!$A$1:$B$8,2,0))</f>
        <v>0</v>
      </c>
      <c r="M213" s="65">
        <f>IFERROR(VLOOKUP(F213,'5S'!$B$8:$E$19,4,0),0)</f>
        <v>1</v>
      </c>
      <c r="N213" s="65">
        <f>VLOOKUP(M213,'5S'!$G$8:$I$14,3,1)*VLOOKUP($M$2,'Kriter Ağırlık'!$A$1:$B$8,2,0)*E213*X213</f>
        <v>8</v>
      </c>
      <c r="O213" s="1">
        <f>IFERROR(VLOOKUP(A213,Devamsızlıklar!A:K,10,0),0)</f>
        <v>0</v>
      </c>
      <c r="P213" s="40">
        <f>VLOOKUP(O213,Aralıklar!$A$2:$C$5,3,1)*VLOOKUP($O$2,'Kriter Ağırlık'!$A$1:$B$8,2,0)*E213*X213</f>
        <v>10</v>
      </c>
      <c r="Q213" s="1">
        <f>IFERROR(VLOOKUP(A213,Devamsızlıklar!A:K,8,0),0)</f>
        <v>0</v>
      </c>
      <c r="R213" s="33">
        <f>VLOOKUP(Q213,Aralıklar!$E$2:$G$5,3,1)</f>
        <v>1</v>
      </c>
      <c r="S213" s="33">
        <f>IFERROR(VLOOKUP(A213,Devamsızlıklar!A:K,9,0),0)</f>
        <v>0</v>
      </c>
      <c r="T213" s="33">
        <f>VLOOKUP(S213,Aralıklar!$I$2:$K$6,3,1)</f>
        <v>50</v>
      </c>
      <c r="U213" s="33">
        <f>IFERROR(VLOOKUP(A213,Devamsızlıklar!A:K,11,0),0)</f>
        <v>0</v>
      </c>
      <c r="V213" s="33">
        <f>VLOOKUP(U213,Aralıklar!$M$2:$O$6,3,1)</f>
        <v>50</v>
      </c>
      <c r="W213" s="40">
        <f>IF(X213=0,0,(T213+V213)*R213*VLOOKUP($W$2,'Kriter Ağırlık'!$A$1:$B$8,2,1)*E213)</f>
        <v>10</v>
      </c>
      <c r="X213" s="40">
        <f>IFERROR(VLOOKUP(A213,Devamsızlıklar!A:M,13,0),1)</f>
        <v>1</v>
      </c>
      <c r="Y213" s="40">
        <f>(OEE!$K$6*VLOOKUP($Y$2,'Kriter Ağırlık'!$A$1:$B$8,2,1))*X213*E213</f>
        <v>35</v>
      </c>
      <c r="Z213" s="40">
        <f>(TELEF!$I$10*VLOOKUP($Z$2,'Kriter Ağırlık'!$A$1:$B$8,2,1))*X213*E213</f>
        <v>15</v>
      </c>
      <c r="AA213" s="40">
        <f t="shared" si="19"/>
        <v>78</v>
      </c>
      <c r="AB213" s="1">
        <v>5</v>
      </c>
      <c r="AC213" s="33">
        <f>VLOOKUP(AB213,'Kriter Ağırlık'!$A$12:$C$17,3,0)</f>
        <v>18.5</v>
      </c>
      <c r="AD213" s="106">
        <v>4</v>
      </c>
      <c r="AE213" s="33">
        <f>VLOOKUP(AD213,'Kriter Ağırlık'!$E$12:$G$24,3,0)</f>
        <v>1.077</v>
      </c>
      <c r="AF213" s="92">
        <f t="shared" si="20"/>
        <v>1554.1109999999999</v>
      </c>
      <c r="AG213" t="str">
        <f>VLOOKUP(A213,'Çalışan Listesi'!A:G,6,0)</f>
        <v>OPERATÖR</v>
      </c>
    </row>
    <row r="214" spans="1:33" x14ac:dyDescent="0.2">
      <c r="A214" s="2">
        <v>4321</v>
      </c>
      <c r="B214" s="3" t="s">
        <v>259</v>
      </c>
      <c r="C214" s="4">
        <v>43276</v>
      </c>
      <c r="D214" s="5">
        <f t="shared" si="17"/>
        <v>90</v>
      </c>
      <c r="E214" s="6">
        <f t="shared" si="18"/>
        <v>1</v>
      </c>
      <c r="F214" s="25" t="s">
        <v>432</v>
      </c>
      <c r="G214" s="3" t="s">
        <v>219</v>
      </c>
      <c r="H214" s="106" t="str">
        <f>VLOOKUP(A214,'Çalışan Listesi'!A:G,7,0)</f>
        <v>2.KADEME</v>
      </c>
      <c r="I214" s="65">
        <f>IFERROR(VLOOKUP(A214,'Kaizen Listesi'!A:H,8,0),0)</f>
        <v>66.666666666666671</v>
      </c>
      <c r="J214" s="65">
        <f>I214*VLOOKUP($I$2,'Kriter Ağırlık'!$A$1:$B$8,2,0)</f>
        <v>8</v>
      </c>
      <c r="K214" s="65">
        <f>IFERROR(VLOOKUP(A214,'Hata Kartı '!A:H,8,0),0)</f>
        <v>66.666666666666671</v>
      </c>
      <c r="L214" s="65">
        <f>K214*(VLOOKUP($K$2,'Kriter Ağırlık'!$A$1:$B$8,2,0))</f>
        <v>6.6666666666666679</v>
      </c>
      <c r="M214" s="65">
        <f>IFERROR(VLOOKUP(F214,'5S'!$B$8:$E$19,4,0),0)</f>
        <v>1</v>
      </c>
      <c r="N214" s="65">
        <f>VLOOKUP(M214,'5S'!$G$8:$I$14,3,1)*VLOOKUP($M$2,'Kriter Ağırlık'!$A$1:$B$8,2,0)*E214*X214</f>
        <v>7.4666666666666668</v>
      </c>
      <c r="O214" s="1">
        <f>IFERROR(VLOOKUP(A214,Devamsızlıklar!A:K,10,0),0)</f>
        <v>0</v>
      </c>
      <c r="P214" s="40">
        <f>VLOOKUP(O214,Aralıklar!$A$2:$C$5,3,1)*VLOOKUP($O$2,'Kriter Ağırlık'!$A$1:$B$8,2,0)*E214*X214</f>
        <v>9.3333333333333339</v>
      </c>
      <c r="Q214" s="1">
        <f>IFERROR(VLOOKUP(A214,Devamsızlıklar!A:K,8,0),0)</f>
        <v>0</v>
      </c>
      <c r="R214" s="33">
        <f>VLOOKUP(Q214,Aralıklar!$E$2:$G$5,3,1)</f>
        <v>1</v>
      </c>
      <c r="S214" s="33">
        <f>IFERROR(VLOOKUP(A214,Devamsızlıklar!A:K,9,0),0)</f>
        <v>0</v>
      </c>
      <c r="T214" s="33">
        <f>VLOOKUP(S214,Aralıklar!$I$2:$K$6,3,1)</f>
        <v>50</v>
      </c>
      <c r="U214" s="33">
        <f>IFERROR(VLOOKUP(A214,Devamsızlıklar!A:K,11,0),0)</f>
        <v>0</v>
      </c>
      <c r="V214" s="33">
        <f>VLOOKUP(U214,Aralıklar!$M$2:$O$6,3,1)</f>
        <v>50</v>
      </c>
      <c r="W214" s="40">
        <f>IF(X214=0,0,(T214+V214)*R214*VLOOKUP($W$2,'Kriter Ağırlık'!$A$1:$B$8,2,1)*E214)</f>
        <v>10</v>
      </c>
      <c r="X214" s="40">
        <f>IFERROR(VLOOKUP(A214,Devamsızlıklar!A:M,13,0),1)</f>
        <v>0.93333333333333335</v>
      </c>
      <c r="Y214" s="40">
        <f>(OEE!$K$6*VLOOKUP($Y$2,'Kriter Ağırlık'!$A$1:$B$8,2,1))*X214*E214</f>
        <v>32.666666666666664</v>
      </c>
      <c r="Z214" s="40">
        <f>(TELEF!$I$10*VLOOKUP($Z$2,'Kriter Ağırlık'!$A$1:$B$8,2,1))*X214*E214</f>
        <v>14</v>
      </c>
      <c r="AA214" s="40">
        <f t="shared" si="19"/>
        <v>88.133333333333326</v>
      </c>
      <c r="AB214" s="1">
        <v>5</v>
      </c>
      <c r="AC214" s="33">
        <f>VLOOKUP(AB214,'Kriter Ağırlık'!$A$12:$C$17,3,0)</f>
        <v>18.5</v>
      </c>
      <c r="AD214" s="106">
        <v>4</v>
      </c>
      <c r="AE214" s="33">
        <f>VLOOKUP(AD214,'Kriter Ağırlık'!$E$12:$G$24,3,0)</f>
        <v>1.077</v>
      </c>
      <c r="AF214" s="92">
        <f t="shared" si="20"/>
        <v>1756.0125999999998</v>
      </c>
      <c r="AG214" t="str">
        <f>VLOOKUP(A214,'Çalışan Listesi'!A:G,6,0)</f>
        <v>OPERATÖR</v>
      </c>
    </row>
    <row r="215" spans="1:33" x14ac:dyDescent="0.2">
      <c r="A215" s="2">
        <v>4330</v>
      </c>
      <c r="B215" s="3" t="s">
        <v>260</v>
      </c>
      <c r="C215" s="4">
        <v>43283</v>
      </c>
      <c r="D215" s="5">
        <f t="shared" si="17"/>
        <v>90</v>
      </c>
      <c r="E215" s="6">
        <f t="shared" si="18"/>
        <v>1</v>
      </c>
      <c r="F215" s="25" t="s">
        <v>429</v>
      </c>
      <c r="G215" s="3" t="s">
        <v>46</v>
      </c>
      <c r="H215" s="106" t="str">
        <f>VLOOKUP(A215,'Çalışan Listesi'!A:G,7,0)</f>
        <v>2.KADEME</v>
      </c>
      <c r="I215" s="65">
        <f>IFERROR(VLOOKUP(A215,'Kaizen Listesi'!A:H,8,0),0)</f>
        <v>0</v>
      </c>
      <c r="J215" s="65">
        <f>I215*VLOOKUP($I$2,'Kriter Ağırlık'!$A$1:$B$8,2,0)</f>
        <v>0</v>
      </c>
      <c r="K215" s="65">
        <f>IFERROR(VLOOKUP(A215,'Hata Kartı '!A:H,8,0),0)</f>
        <v>0</v>
      </c>
      <c r="L215" s="65">
        <f>K215*(VLOOKUP($K$2,'Kriter Ağırlık'!$A$1:$B$8,2,0))</f>
        <v>0</v>
      </c>
      <c r="M215" s="65">
        <f>IFERROR(VLOOKUP(F215,'5S'!$B$8:$E$19,4,0),0)</f>
        <v>1</v>
      </c>
      <c r="N215" s="65">
        <f>VLOOKUP(M215,'5S'!$G$8:$I$14,3,1)*VLOOKUP($M$2,'Kriter Ağırlık'!$A$1:$B$8,2,0)*E215*X215</f>
        <v>7.2888888888888888</v>
      </c>
      <c r="O215" s="1">
        <f>IFERROR(VLOOKUP(A215,Devamsızlıklar!A:K,10,0),0)</f>
        <v>0</v>
      </c>
      <c r="P215" s="40">
        <f>VLOOKUP(O215,Aralıklar!$A$2:$C$5,3,1)*VLOOKUP($O$2,'Kriter Ağırlık'!$A$1:$B$8,2,0)*E215*X215</f>
        <v>9.1111111111111107</v>
      </c>
      <c r="Q215" s="1">
        <f>IFERROR(VLOOKUP(A215,Devamsızlıklar!A:K,8,0),0)</f>
        <v>0</v>
      </c>
      <c r="R215" s="33">
        <f>VLOOKUP(Q215,Aralıklar!$E$2:$G$5,3,1)</f>
        <v>1</v>
      </c>
      <c r="S215" s="33">
        <f>IFERROR(VLOOKUP(A215,Devamsızlıklar!A:K,9,0),0)</f>
        <v>1</v>
      </c>
      <c r="T215" s="33">
        <f>VLOOKUP(S215,Aralıklar!$I$2:$K$6,3,1)</f>
        <v>50</v>
      </c>
      <c r="U215" s="33">
        <f>IFERROR(VLOOKUP(A215,Devamsızlıklar!A:K,11,0),0)</f>
        <v>0</v>
      </c>
      <c r="V215" s="33">
        <f>VLOOKUP(U215,Aralıklar!$M$2:$O$6,3,1)</f>
        <v>50</v>
      </c>
      <c r="W215" s="40">
        <f>IF(X215=0,0,(T215+V215)*R215*VLOOKUP($W$2,'Kriter Ağırlık'!$A$1:$B$8,2,1)*E215)</f>
        <v>10</v>
      </c>
      <c r="X215" s="40">
        <f>IFERROR(VLOOKUP(A215,Devamsızlıklar!A:M,13,0),1)</f>
        <v>0.91111111111111109</v>
      </c>
      <c r="Y215" s="40">
        <f>(OEE!$K$6*VLOOKUP($Y$2,'Kriter Ağırlık'!$A$1:$B$8,2,1))*X215*E215</f>
        <v>31.888888888888889</v>
      </c>
      <c r="Z215" s="40">
        <f>(TELEF!$I$10*VLOOKUP($Z$2,'Kriter Ağırlık'!$A$1:$B$8,2,1))*X215*E215</f>
        <v>13.666666666666666</v>
      </c>
      <c r="AA215" s="40">
        <f t="shared" si="19"/>
        <v>71.955555555555563</v>
      </c>
      <c r="AB215" s="1">
        <v>5</v>
      </c>
      <c r="AC215" s="33">
        <f>VLOOKUP(AB215,'Kriter Ağırlık'!$A$12:$C$17,3,0)</f>
        <v>18.5</v>
      </c>
      <c r="AD215" s="106">
        <v>4</v>
      </c>
      <c r="AE215" s="33">
        <f>VLOOKUP(AD215,'Kriter Ağırlık'!$E$12:$G$24,3,0)</f>
        <v>1.077</v>
      </c>
      <c r="AF215" s="92">
        <f t="shared" si="20"/>
        <v>1433.6784666666667</v>
      </c>
      <c r="AG215" t="str">
        <f>VLOOKUP(A215,'Çalışan Listesi'!A:G,6,0)</f>
        <v>OPERATÖR</v>
      </c>
    </row>
    <row r="216" spans="1:33" x14ac:dyDescent="0.2">
      <c r="A216" s="2">
        <v>4337</v>
      </c>
      <c r="B216" s="3" t="s">
        <v>261</v>
      </c>
      <c r="C216" s="4">
        <v>43290</v>
      </c>
      <c r="D216" s="5">
        <f t="shared" si="17"/>
        <v>90</v>
      </c>
      <c r="E216" s="6">
        <f t="shared" si="18"/>
        <v>1</v>
      </c>
      <c r="F216" s="25" t="s">
        <v>421</v>
      </c>
      <c r="G216" s="3" t="s">
        <v>86</v>
      </c>
      <c r="H216" s="106" t="str">
        <f>VLOOKUP(A216,'Çalışan Listesi'!A:G,7,0)</f>
        <v>2.KADEME</v>
      </c>
      <c r="I216" s="65">
        <f>IFERROR(VLOOKUP(A216,'Kaizen Listesi'!A:H,8,0),0)</f>
        <v>0</v>
      </c>
      <c r="J216" s="65">
        <f>I216*VLOOKUP($I$2,'Kriter Ağırlık'!$A$1:$B$8,2,0)</f>
        <v>0</v>
      </c>
      <c r="K216" s="65">
        <f>IFERROR(VLOOKUP(A216,'Hata Kartı '!A:H,8,0),0)</f>
        <v>50</v>
      </c>
      <c r="L216" s="65">
        <f>K216*(VLOOKUP($K$2,'Kriter Ağırlık'!$A$1:$B$8,2,0))</f>
        <v>5</v>
      </c>
      <c r="M216" s="65">
        <f>IFERROR(VLOOKUP(F216,'5S'!$B$8:$E$19,4,0),0)</f>
        <v>1</v>
      </c>
      <c r="N216" s="65">
        <f>VLOOKUP(M216,'5S'!$G$8:$I$14,3,1)*VLOOKUP($M$2,'Kriter Ağırlık'!$A$1:$B$8,2,0)*E216*X216</f>
        <v>7.4666666666666668</v>
      </c>
      <c r="O216" s="1">
        <f>IFERROR(VLOOKUP(A216,Devamsızlıklar!A:K,10,0),0)</f>
        <v>0</v>
      </c>
      <c r="P216" s="40">
        <f>VLOOKUP(O216,Aralıklar!$A$2:$C$5,3,1)*VLOOKUP($O$2,'Kriter Ağırlık'!$A$1:$B$8,2,0)*E216*X216</f>
        <v>9.3333333333333339</v>
      </c>
      <c r="Q216" s="1">
        <f>IFERROR(VLOOKUP(A216,Devamsızlıklar!A:K,8,0),0)</f>
        <v>0</v>
      </c>
      <c r="R216" s="33">
        <f>VLOOKUP(Q216,Aralıklar!$E$2:$G$5,3,1)</f>
        <v>1</v>
      </c>
      <c r="S216" s="33">
        <f>IFERROR(VLOOKUP(A216,Devamsızlıklar!A:K,9,0),0)</f>
        <v>0</v>
      </c>
      <c r="T216" s="33">
        <f>VLOOKUP(S216,Aralıklar!$I$2:$K$6,3,1)</f>
        <v>50</v>
      </c>
      <c r="U216" s="33">
        <f>IFERROR(VLOOKUP(A216,Devamsızlıklar!A:K,11,0),0)</f>
        <v>0</v>
      </c>
      <c r="V216" s="33">
        <f>VLOOKUP(U216,Aralıklar!$M$2:$O$6,3,1)</f>
        <v>50</v>
      </c>
      <c r="W216" s="40">
        <f>IF(X216=0,0,(T216+V216)*R216*VLOOKUP($W$2,'Kriter Ağırlık'!$A$1:$B$8,2,1)*E216)</f>
        <v>10</v>
      </c>
      <c r="X216" s="40">
        <f>IFERROR(VLOOKUP(A216,Devamsızlıklar!A:M,13,0),1)</f>
        <v>0.93333333333333335</v>
      </c>
      <c r="Y216" s="40">
        <f>(OEE!$K$6*VLOOKUP($Y$2,'Kriter Ağırlık'!$A$1:$B$8,2,1))*X216*E216</f>
        <v>32.666666666666664</v>
      </c>
      <c r="Z216" s="40">
        <f>(TELEF!$I$10*VLOOKUP($Z$2,'Kriter Ağırlık'!$A$1:$B$8,2,1))*X216*E216</f>
        <v>14</v>
      </c>
      <c r="AA216" s="40">
        <f t="shared" si="19"/>
        <v>78.466666666666669</v>
      </c>
      <c r="AB216" s="1">
        <v>5</v>
      </c>
      <c r="AC216" s="33">
        <f>VLOOKUP(AB216,'Kriter Ağırlık'!$A$12:$C$17,3,0)</f>
        <v>18.5</v>
      </c>
      <c r="AD216" s="106">
        <v>4</v>
      </c>
      <c r="AE216" s="33">
        <f>VLOOKUP(AD216,'Kriter Ağırlık'!$E$12:$G$24,3,0)</f>
        <v>1.077</v>
      </c>
      <c r="AF216" s="92">
        <f t="shared" si="20"/>
        <v>1563.4091000000001</v>
      </c>
      <c r="AG216" t="str">
        <f>VLOOKUP(A216,'Çalışan Listesi'!A:G,6,0)</f>
        <v>OPERATÖR</v>
      </c>
    </row>
    <row r="217" spans="1:33" x14ac:dyDescent="0.2">
      <c r="A217" s="2">
        <v>4350</v>
      </c>
      <c r="B217" s="3" t="s">
        <v>262</v>
      </c>
      <c r="C217" s="4">
        <v>43311</v>
      </c>
      <c r="D217" s="5">
        <f t="shared" si="17"/>
        <v>90</v>
      </c>
      <c r="E217" s="6">
        <f t="shared" si="18"/>
        <v>1</v>
      </c>
      <c r="F217" s="25" t="s">
        <v>429</v>
      </c>
      <c r="G217" s="3" t="s">
        <v>46</v>
      </c>
      <c r="H217" s="106" t="str">
        <f>VLOOKUP(A217,'Çalışan Listesi'!A:G,7,0)</f>
        <v>2.KADEME</v>
      </c>
      <c r="I217" s="65">
        <f>IFERROR(VLOOKUP(A217,'Kaizen Listesi'!A:H,8,0),0)</f>
        <v>0</v>
      </c>
      <c r="J217" s="65">
        <f>I217*VLOOKUP($I$2,'Kriter Ağırlık'!$A$1:$B$8,2,0)</f>
        <v>0</v>
      </c>
      <c r="K217" s="65">
        <f>IFERROR(VLOOKUP(A217,'Hata Kartı '!A:H,8,0),0)</f>
        <v>0</v>
      </c>
      <c r="L217" s="65">
        <f>K217*(VLOOKUP($K$2,'Kriter Ağırlık'!$A$1:$B$8,2,0))</f>
        <v>0</v>
      </c>
      <c r="M217" s="65">
        <f>IFERROR(VLOOKUP(F217,'5S'!$B$8:$E$19,4,0),0)</f>
        <v>1</v>
      </c>
      <c r="N217" s="65">
        <f>VLOOKUP(M217,'5S'!$G$8:$I$14,3,1)*VLOOKUP($M$2,'Kriter Ağırlık'!$A$1:$B$8,2,0)*E217*X217</f>
        <v>8</v>
      </c>
      <c r="O217" s="1">
        <f>IFERROR(VLOOKUP(A217,Devamsızlıklar!A:K,10,0),0)</f>
        <v>0</v>
      </c>
      <c r="P217" s="40">
        <f>VLOOKUP(O217,Aralıklar!$A$2:$C$5,3,1)*VLOOKUP($O$2,'Kriter Ağırlık'!$A$1:$B$8,2,0)*E217*X217</f>
        <v>10</v>
      </c>
      <c r="Q217" s="1">
        <f>IFERROR(VLOOKUP(A217,Devamsızlıklar!A:K,8,0),0)</f>
        <v>0</v>
      </c>
      <c r="R217" s="33">
        <f>VLOOKUP(Q217,Aralıklar!$E$2:$G$5,3,1)</f>
        <v>1</v>
      </c>
      <c r="S217" s="33">
        <f>IFERROR(VLOOKUP(A217,Devamsızlıklar!A:K,9,0),0)</f>
        <v>0</v>
      </c>
      <c r="T217" s="33">
        <f>VLOOKUP(S217,Aralıklar!$I$2:$K$6,3,1)</f>
        <v>50</v>
      </c>
      <c r="U217" s="33">
        <f>IFERROR(VLOOKUP(A217,Devamsızlıklar!A:K,11,0),0)</f>
        <v>0</v>
      </c>
      <c r="V217" s="33">
        <f>VLOOKUP(U217,Aralıklar!$M$2:$O$6,3,1)</f>
        <v>50</v>
      </c>
      <c r="W217" s="40">
        <f>IF(X217=0,0,(T217+V217)*R217*VLOOKUP($W$2,'Kriter Ağırlık'!$A$1:$B$8,2,1)*E217)</f>
        <v>10</v>
      </c>
      <c r="X217" s="40">
        <f>IFERROR(VLOOKUP(A217,Devamsızlıklar!A:M,13,0),1)</f>
        <v>1</v>
      </c>
      <c r="Y217" s="40">
        <f>(OEE!$K$6*VLOOKUP($Y$2,'Kriter Ağırlık'!$A$1:$B$8,2,1))*X217*E217</f>
        <v>35</v>
      </c>
      <c r="Z217" s="40">
        <f>(TELEF!$I$10*VLOOKUP($Z$2,'Kriter Ağırlık'!$A$1:$B$8,2,1))*X217*E217</f>
        <v>15</v>
      </c>
      <c r="AA217" s="40">
        <f t="shared" si="19"/>
        <v>78</v>
      </c>
      <c r="AB217" s="1">
        <v>5</v>
      </c>
      <c r="AC217" s="33">
        <f>VLOOKUP(AB217,'Kriter Ağırlık'!$A$12:$C$17,3,0)</f>
        <v>18.5</v>
      </c>
      <c r="AD217" s="106">
        <v>4</v>
      </c>
      <c r="AE217" s="33">
        <f>VLOOKUP(AD217,'Kriter Ağırlık'!$E$12:$G$24,3,0)</f>
        <v>1.077</v>
      </c>
      <c r="AF217" s="92">
        <f t="shared" si="20"/>
        <v>1554.1109999999999</v>
      </c>
      <c r="AG217" t="str">
        <f>VLOOKUP(A217,'Çalışan Listesi'!A:G,6,0)</f>
        <v>OPERATÖR</v>
      </c>
    </row>
    <row r="218" spans="1:33" x14ac:dyDescent="0.2">
      <c r="A218" s="2">
        <v>4353</v>
      </c>
      <c r="B218" s="3" t="s">
        <v>263</v>
      </c>
      <c r="C218" s="4">
        <v>43325</v>
      </c>
      <c r="D218" s="5">
        <f t="shared" si="17"/>
        <v>90</v>
      </c>
      <c r="E218" s="6">
        <f t="shared" si="18"/>
        <v>1</v>
      </c>
      <c r="F218" s="25" t="s">
        <v>421</v>
      </c>
      <c r="G218" s="3" t="s">
        <v>61</v>
      </c>
      <c r="H218" s="106" t="str">
        <f>VLOOKUP(A218,'Çalışan Listesi'!A:G,7,0)</f>
        <v>2.KADEME</v>
      </c>
      <c r="I218" s="65">
        <f>IFERROR(VLOOKUP(A218,'Kaizen Listesi'!A:H,8,0),0)</f>
        <v>0</v>
      </c>
      <c r="J218" s="65">
        <f>I218*VLOOKUP($I$2,'Kriter Ağırlık'!$A$1:$B$8,2,0)</f>
        <v>0</v>
      </c>
      <c r="K218" s="65">
        <f>IFERROR(VLOOKUP(A218,'Hata Kartı '!A:H,8,0),0)</f>
        <v>16.666666666666668</v>
      </c>
      <c r="L218" s="65">
        <f>K218*(VLOOKUP($K$2,'Kriter Ağırlık'!$A$1:$B$8,2,0))</f>
        <v>1.666666666666667</v>
      </c>
      <c r="M218" s="65">
        <f>IFERROR(VLOOKUP(F218,'5S'!$B$8:$E$19,4,0),0)</f>
        <v>1</v>
      </c>
      <c r="N218" s="65">
        <f>VLOOKUP(M218,'5S'!$G$8:$I$14,3,1)*VLOOKUP($M$2,'Kriter Ağırlık'!$A$1:$B$8,2,0)*E218*X218</f>
        <v>7.3777777777777782</v>
      </c>
      <c r="O218" s="1">
        <f>IFERROR(VLOOKUP(A218,Devamsızlıklar!A:K,10,0),0)</f>
        <v>0</v>
      </c>
      <c r="P218" s="40">
        <f>VLOOKUP(O218,Aralıklar!$A$2:$C$5,3,1)*VLOOKUP($O$2,'Kriter Ağırlık'!$A$1:$B$8,2,0)*E218*X218</f>
        <v>9.2222222222222232</v>
      </c>
      <c r="Q218" s="1">
        <f>IFERROR(VLOOKUP(A218,Devamsızlıklar!A:K,8,0),0)</f>
        <v>0</v>
      </c>
      <c r="R218" s="33">
        <f>VLOOKUP(Q218,Aralıklar!$E$2:$G$5,3,1)</f>
        <v>1</v>
      </c>
      <c r="S218" s="33">
        <f>IFERROR(VLOOKUP(A218,Devamsızlıklar!A:K,9,0),0)</f>
        <v>7</v>
      </c>
      <c r="T218" s="33">
        <f>VLOOKUP(S218,Aralıklar!$I$2:$K$6,3,1)</f>
        <v>0</v>
      </c>
      <c r="U218" s="33">
        <f>IFERROR(VLOOKUP(A218,Devamsızlıklar!A:K,11,0),0)</f>
        <v>0</v>
      </c>
      <c r="V218" s="33">
        <f>VLOOKUP(U218,Aralıklar!$M$2:$O$6,3,1)</f>
        <v>50</v>
      </c>
      <c r="W218" s="40">
        <f>IF(X218=0,0,(T218+V218)*R218*VLOOKUP($W$2,'Kriter Ağırlık'!$A$1:$B$8,2,1)*E218)</f>
        <v>5</v>
      </c>
      <c r="X218" s="40">
        <f>IFERROR(VLOOKUP(A218,Devamsızlıklar!A:M,13,0),1)</f>
        <v>0.92222222222222228</v>
      </c>
      <c r="Y218" s="40">
        <f>(OEE!$K$6*VLOOKUP($Y$2,'Kriter Ağırlık'!$A$1:$B$8,2,1))*X218*E218</f>
        <v>32.277777777777779</v>
      </c>
      <c r="Z218" s="40">
        <f>(TELEF!$I$10*VLOOKUP($Z$2,'Kriter Ağırlık'!$A$1:$B$8,2,1))*X218*E218</f>
        <v>13.833333333333334</v>
      </c>
      <c r="AA218" s="40">
        <f t="shared" si="19"/>
        <v>69.37777777777778</v>
      </c>
      <c r="AB218" s="1">
        <v>5</v>
      </c>
      <c r="AC218" s="33">
        <f>VLOOKUP(AB218,'Kriter Ağırlık'!$A$12:$C$17,3,0)</f>
        <v>18.5</v>
      </c>
      <c r="AD218" s="106">
        <v>4</v>
      </c>
      <c r="AE218" s="33">
        <f>VLOOKUP(AD218,'Kriter Ağırlık'!$E$12:$G$24,3,0)</f>
        <v>1.077</v>
      </c>
      <c r="AF218" s="92">
        <f t="shared" si="20"/>
        <v>1382.3175333333331</v>
      </c>
      <c r="AG218" t="str">
        <f>VLOOKUP(A218,'Çalışan Listesi'!A:G,6,0)</f>
        <v>OPERATÖR</v>
      </c>
    </row>
    <row r="219" spans="1:33" x14ac:dyDescent="0.2">
      <c r="A219" s="2">
        <v>4364</v>
      </c>
      <c r="B219" s="3" t="s">
        <v>264</v>
      </c>
      <c r="C219" s="4">
        <v>43346</v>
      </c>
      <c r="D219" s="5">
        <f t="shared" ref="D219:D250" si="21">IF($AI$2-C219&gt;=90,90,$AI$2-C219)</f>
        <v>90</v>
      </c>
      <c r="E219" s="6">
        <f t="shared" si="18"/>
        <v>1</v>
      </c>
      <c r="F219" s="25" t="s">
        <v>421</v>
      </c>
      <c r="G219" s="3" t="s">
        <v>10</v>
      </c>
      <c r="H219" s="106" t="str">
        <f>VLOOKUP(A219,'Çalışan Listesi'!A:G,7,0)</f>
        <v>2.KADEME</v>
      </c>
      <c r="I219" s="65">
        <f>IFERROR(VLOOKUP(A219,'Kaizen Listesi'!A:H,8,0),0)</f>
        <v>33.333333333333336</v>
      </c>
      <c r="J219" s="65">
        <f>I219*VLOOKUP($I$2,'Kriter Ağırlık'!$A$1:$B$8,2,0)</f>
        <v>4</v>
      </c>
      <c r="K219" s="65">
        <f>IFERROR(VLOOKUP(A219,'Hata Kartı '!A:H,8,0),0)</f>
        <v>33.333333333333336</v>
      </c>
      <c r="L219" s="65">
        <f>K219*(VLOOKUP($K$2,'Kriter Ağırlık'!$A$1:$B$8,2,0))</f>
        <v>3.3333333333333339</v>
      </c>
      <c r="M219" s="65">
        <f>IFERROR(VLOOKUP(F219,'5S'!$B$8:$E$19,4,0),0)</f>
        <v>1</v>
      </c>
      <c r="N219" s="65">
        <f>VLOOKUP(M219,'5S'!$G$8:$I$14,3,1)*VLOOKUP($M$2,'Kriter Ağırlık'!$A$1:$B$8,2,0)*E219*X219</f>
        <v>8</v>
      </c>
      <c r="O219" s="1">
        <f>IFERROR(VLOOKUP(A219,Devamsızlıklar!A:K,10,0),0)</f>
        <v>0</v>
      </c>
      <c r="P219" s="40">
        <f>VLOOKUP(O219,Aralıklar!$A$2:$C$5,3,1)*VLOOKUP($O$2,'Kriter Ağırlık'!$A$1:$B$8,2,0)*E219*X219</f>
        <v>10</v>
      </c>
      <c r="Q219" s="1">
        <f>IFERROR(VLOOKUP(A219,Devamsızlıklar!A:K,8,0),0)</f>
        <v>0</v>
      </c>
      <c r="R219" s="33">
        <f>VLOOKUP(Q219,Aralıklar!$E$2:$G$5,3,1)</f>
        <v>1</v>
      </c>
      <c r="S219" s="33">
        <f>IFERROR(VLOOKUP(A219,Devamsızlıklar!A:K,9,0),0)</f>
        <v>0</v>
      </c>
      <c r="T219" s="33">
        <f>VLOOKUP(S219,Aralıklar!$I$2:$K$6,3,1)</f>
        <v>50</v>
      </c>
      <c r="U219" s="33">
        <f>IFERROR(VLOOKUP(A219,Devamsızlıklar!A:K,11,0),0)</f>
        <v>0</v>
      </c>
      <c r="V219" s="33">
        <f>VLOOKUP(U219,Aralıklar!$M$2:$O$6,3,1)</f>
        <v>50</v>
      </c>
      <c r="W219" s="40">
        <f>IF(X219=0,0,(T219+V219)*R219*VLOOKUP($W$2,'Kriter Ağırlık'!$A$1:$B$8,2,1)*E219)</f>
        <v>10</v>
      </c>
      <c r="X219" s="40">
        <f>IFERROR(VLOOKUP(A219,Devamsızlıklar!A:M,13,0),1)</f>
        <v>1</v>
      </c>
      <c r="Y219" s="40">
        <f>(OEE!$K$6*VLOOKUP($Y$2,'Kriter Ağırlık'!$A$1:$B$8,2,1))*X219*E219</f>
        <v>35</v>
      </c>
      <c r="Z219" s="40">
        <f>(TELEF!$I$10*VLOOKUP($Z$2,'Kriter Ağırlık'!$A$1:$B$8,2,1))*X219*E219</f>
        <v>15</v>
      </c>
      <c r="AA219" s="40">
        <f t="shared" si="19"/>
        <v>85.333333333333343</v>
      </c>
      <c r="AB219" s="1">
        <v>5</v>
      </c>
      <c r="AC219" s="33">
        <f>VLOOKUP(AB219,'Kriter Ağırlık'!$A$12:$C$17,3,0)</f>
        <v>18.5</v>
      </c>
      <c r="AD219" s="106">
        <v>4</v>
      </c>
      <c r="AE219" s="33">
        <f>VLOOKUP(AD219,'Kriter Ağırlık'!$E$12:$G$24,3,0)</f>
        <v>1.077</v>
      </c>
      <c r="AF219" s="92">
        <f t="shared" si="20"/>
        <v>1700.2239999999999</v>
      </c>
      <c r="AG219" t="str">
        <f>VLOOKUP(A219,'Çalışan Listesi'!A:G,6,0)</f>
        <v>OPERATÖR</v>
      </c>
    </row>
    <row r="220" spans="1:33" x14ac:dyDescent="0.2">
      <c r="A220" s="2">
        <v>4372</v>
      </c>
      <c r="B220" s="3" t="s">
        <v>265</v>
      </c>
      <c r="C220" s="4">
        <v>43353</v>
      </c>
      <c r="D220" s="5">
        <f t="shared" si="21"/>
        <v>90</v>
      </c>
      <c r="E220" s="6">
        <f t="shared" si="18"/>
        <v>1</v>
      </c>
      <c r="F220" s="25" t="s">
        <v>422</v>
      </c>
      <c r="G220" s="3" t="s">
        <v>54</v>
      </c>
      <c r="H220" s="106" t="str">
        <f>VLOOKUP(A220,'Çalışan Listesi'!A:G,7,0)</f>
        <v>2.KADEME</v>
      </c>
      <c r="I220" s="65">
        <f>IFERROR(VLOOKUP(A220,'Kaizen Listesi'!A:H,8,0),0)</f>
        <v>0</v>
      </c>
      <c r="J220" s="65">
        <f>I220*VLOOKUP($I$2,'Kriter Ağırlık'!$A$1:$B$8,2,0)</f>
        <v>0</v>
      </c>
      <c r="K220" s="65">
        <f>IFERROR(VLOOKUP(A220,'Hata Kartı '!A:H,8,0),0)</f>
        <v>50</v>
      </c>
      <c r="L220" s="65">
        <f>K220*(VLOOKUP($K$2,'Kriter Ağırlık'!$A$1:$B$8,2,0))</f>
        <v>5</v>
      </c>
      <c r="M220" s="65">
        <f>IFERROR(VLOOKUP(F220,'5S'!$B$8:$E$19,4,0),0)</f>
        <v>1</v>
      </c>
      <c r="N220" s="65">
        <f>VLOOKUP(M220,'5S'!$G$8:$I$14,3,1)*VLOOKUP($M$2,'Kriter Ağırlık'!$A$1:$B$8,2,0)*E220*X220</f>
        <v>8</v>
      </c>
      <c r="O220" s="76">
        <f>IFERROR(VLOOKUP(A220,Devamsızlıklar!A:K,10,0),0)</f>
        <v>0</v>
      </c>
      <c r="P220" s="40">
        <f>VLOOKUP(O220,Aralıklar!$A$2:$C$5,3,1)*VLOOKUP($O$2,'Kriter Ağırlık'!$A$1:$B$8,2,0)*E220*X220</f>
        <v>10</v>
      </c>
      <c r="Q220" s="76">
        <f>IFERROR(VLOOKUP(A220,Devamsızlıklar!A:K,8,0),0)</f>
        <v>0</v>
      </c>
      <c r="R220" s="76">
        <f>VLOOKUP(Q220,Aralıklar!$E$2:$G$5,3,1)</f>
        <v>1</v>
      </c>
      <c r="S220" s="76">
        <f>IFERROR(VLOOKUP(A220,Devamsızlıklar!A:K,9,0),0)</f>
        <v>0</v>
      </c>
      <c r="T220" s="76">
        <f>VLOOKUP(S220,Aralıklar!$I$2:$K$6,3,1)</f>
        <v>50</v>
      </c>
      <c r="U220" s="76">
        <f>IFERROR(VLOOKUP(A220,Devamsızlıklar!A:K,11,0),0)</f>
        <v>0</v>
      </c>
      <c r="V220" s="76">
        <f>VLOOKUP(U220,Aralıklar!$M$2:$O$6,3,1)</f>
        <v>50</v>
      </c>
      <c r="W220" s="40">
        <f>IF(X220=0,0,(T220+V220)*R220*VLOOKUP($W$2,'Kriter Ağırlık'!$A$1:$B$8,2,1)*E220)</f>
        <v>10</v>
      </c>
      <c r="X220" s="40">
        <f>IFERROR(VLOOKUP(A220,Devamsızlıklar!A:M,13,0),1)</f>
        <v>1</v>
      </c>
      <c r="Y220" s="40">
        <f>(OEE!$K$6*VLOOKUP($Y$2,'Kriter Ağırlık'!$A$1:$B$8,2,1))*X220*E220</f>
        <v>35</v>
      </c>
      <c r="Z220" s="40">
        <f>(TELEF!$I$10*VLOOKUP($Z$2,'Kriter Ağırlık'!$A$1:$B$8,2,1))*X220*E220</f>
        <v>15</v>
      </c>
      <c r="AA220" s="40">
        <f t="shared" si="19"/>
        <v>83</v>
      </c>
      <c r="AB220" s="76">
        <v>5</v>
      </c>
      <c r="AC220" s="76">
        <f>VLOOKUP(AB220,'Kriter Ağırlık'!$A$12:$C$17,3,0)</f>
        <v>18.5</v>
      </c>
      <c r="AD220" s="106">
        <v>4</v>
      </c>
      <c r="AE220" s="76">
        <f>VLOOKUP(AD220,'Kriter Ağırlık'!$E$12:$G$24,3,0)</f>
        <v>1.077</v>
      </c>
      <c r="AF220" s="92">
        <f t="shared" si="20"/>
        <v>1653.7334999999998</v>
      </c>
      <c r="AG220" t="str">
        <f>VLOOKUP(A220,'Çalışan Listesi'!A:G,6,0)</f>
        <v>OPERATÖR</v>
      </c>
    </row>
    <row r="221" spans="1:33" s="103" customFormat="1" x14ac:dyDescent="0.2">
      <c r="A221" s="93">
        <v>4373</v>
      </c>
      <c r="B221" s="94" t="s">
        <v>266</v>
      </c>
      <c r="C221" s="95">
        <v>43353</v>
      </c>
      <c r="D221" s="96">
        <f t="shared" si="21"/>
        <v>90</v>
      </c>
      <c r="E221" s="97">
        <f t="shared" si="18"/>
        <v>1</v>
      </c>
      <c r="F221" s="98" t="s">
        <v>429</v>
      </c>
      <c r="G221" s="94" t="s">
        <v>46</v>
      </c>
      <c r="H221" s="106" t="str">
        <f>VLOOKUP(A221,'Çalışan Listesi'!A:G,7,0)</f>
        <v>2.KADEME</v>
      </c>
      <c r="I221" s="100">
        <f>IFERROR(VLOOKUP(A221,'Kaizen Listesi'!A:H,8,0),0)</f>
        <v>0</v>
      </c>
      <c r="J221" s="100">
        <f>I221*VLOOKUP($I$2,'Kriter Ağırlık'!$A$1:$B$8,2,0)</f>
        <v>0</v>
      </c>
      <c r="K221" s="100">
        <f>IFERROR(VLOOKUP(A221,'Hata Kartı '!A:H,8,0),0)</f>
        <v>0</v>
      </c>
      <c r="L221" s="100">
        <f>K221*(VLOOKUP($K$2,'Kriter Ağırlık'!$A$1:$B$8,2,0))</f>
        <v>0</v>
      </c>
      <c r="M221" s="100">
        <f>IFERROR(VLOOKUP(F221,'5S'!$B$8:$E$19,4,0),0)</f>
        <v>1</v>
      </c>
      <c r="N221" s="100">
        <f>VLOOKUP(M221,'5S'!$G$8:$I$14,3,1)*VLOOKUP($M$2,'Kriter Ağırlık'!$A$1:$B$8,2,0)*E221*X221</f>
        <v>1.2444444444444445</v>
      </c>
      <c r="O221" s="99">
        <f>IFERROR(VLOOKUP(A221,Devamsızlıklar!A:K,10,0),0)</f>
        <v>0</v>
      </c>
      <c r="P221" s="101">
        <f>VLOOKUP(O221,Aralıklar!$A$2:$C$5,3,1)*VLOOKUP($O$2,'Kriter Ağırlık'!$A$1:$B$8,2,0)*E221*X221</f>
        <v>1.5555555555555556</v>
      </c>
      <c r="Q221" s="99">
        <f>IFERROR(VLOOKUP(A221,Devamsızlıklar!A:K,8,0),0)</f>
        <v>0</v>
      </c>
      <c r="R221" s="99">
        <f>VLOOKUP(Q221,Aralıklar!$E$2:$G$5,3,1)</f>
        <v>1</v>
      </c>
      <c r="S221" s="99">
        <f>IFERROR(VLOOKUP(A221,Devamsızlıklar!A:K,9,0),0)</f>
        <v>0</v>
      </c>
      <c r="T221" s="99">
        <f>VLOOKUP(S221,Aralıklar!$I$2:$K$6,3,1)</f>
        <v>50</v>
      </c>
      <c r="U221" s="99">
        <f>IFERROR(VLOOKUP(A221,Devamsızlıklar!A:K,11,0),0)</f>
        <v>0</v>
      </c>
      <c r="V221" s="99">
        <f>VLOOKUP(U221,Aralıklar!$M$2:$O$6,3,1)</f>
        <v>50</v>
      </c>
      <c r="W221" s="40">
        <f>IF(X221=0,0,(T221+V221)*R221*VLOOKUP($W$2,'Kriter Ağırlık'!$A$1:$B$8,2,1)*E221)</f>
        <v>10</v>
      </c>
      <c r="X221" s="101">
        <f>IFERROR(VLOOKUP(A221,Devamsızlıklar!A:M,13,0),1)</f>
        <v>0.15555555555555556</v>
      </c>
      <c r="Y221" s="101">
        <f>(OEE!$K$6*VLOOKUP($Y$2,'Kriter Ağırlık'!$A$1:$B$8,2,1))*X221*E221</f>
        <v>5.4444444444444446</v>
      </c>
      <c r="Z221" s="101">
        <f>(TELEF!$I$10*VLOOKUP($Z$2,'Kriter Ağırlık'!$A$1:$B$8,2,1))*X221*E221</f>
        <v>2.3333333333333335</v>
      </c>
      <c r="AA221" s="101">
        <f t="shared" si="19"/>
        <v>20.577777777777779</v>
      </c>
      <c r="AB221" s="99">
        <v>5</v>
      </c>
      <c r="AC221" s="99">
        <f>VLOOKUP(AB221,'Kriter Ağırlık'!$A$12:$C$17,3,0)</f>
        <v>18.5</v>
      </c>
      <c r="AD221" s="106">
        <v>4</v>
      </c>
      <c r="AE221" s="99">
        <f>VLOOKUP(AD221,'Kriter Ağırlık'!$E$12:$G$24,3,0)</f>
        <v>1.077</v>
      </c>
      <c r="AF221" s="102">
        <f t="shared" si="20"/>
        <v>410.00193333333334</v>
      </c>
      <c r="AG221" t="str">
        <f>VLOOKUP(A221,'Çalışan Listesi'!A:G,6,0)</f>
        <v>OPERATÖR</v>
      </c>
    </row>
    <row r="222" spans="1:33" s="103" customFormat="1" x14ac:dyDescent="0.2">
      <c r="A222" s="93">
        <v>4401</v>
      </c>
      <c r="B222" s="94" t="s">
        <v>267</v>
      </c>
      <c r="C222" s="95">
        <v>43423</v>
      </c>
      <c r="D222" s="96">
        <f t="shared" si="21"/>
        <v>90</v>
      </c>
      <c r="E222" s="97">
        <f t="shared" si="18"/>
        <v>1</v>
      </c>
      <c r="F222" s="98" t="s">
        <v>424</v>
      </c>
      <c r="G222" s="94" t="s">
        <v>143</v>
      </c>
      <c r="H222" s="106" t="str">
        <f>VLOOKUP(A222,'Çalışan Listesi'!A:G,7,0)</f>
        <v>2.KADEME</v>
      </c>
      <c r="I222" s="100">
        <f>IFERROR(VLOOKUP(A222,'Kaizen Listesi'!A:H,8,0),0)</f>
        <v>33.333333333333336</v>
      </c>
      <c r="J222" s="100">
        <f>I222*VLOOKUP($I$2,'Kriter Ağırlık'!$A$1:$B$8,2,0)</f>
        <v>4</v>
      </c>
      <c r="K222" s="100">
        <f>IFERROR(VLOOKUP(A222,'Hata Kartı '!A:H,8,0),0)</f>
        <v>100</v>
      </c>
      <c r="L222" s="100">
        <f>K222*(VLOOKUP($K$2,'Kriter Ağırlık'!$A$1:$B$8,2,0))</f>
        <v>10</v>
      </c>
      <c r="M222" s="100">
        <f>IFERROR(VLOOKUP(F222,'5S'!$B$8:$E$19,4,0),0)</f>
        <v>1</v>
      </c>
      <c r="N222" s="100">
        <f>VLOOKUP(M222,'5S'!$G$8:$I$14,3,1)*VLOOKUP($M$2,'Kriter Ağırlık'!$A$1:$B$8,2,0)*E222*X222</f>
        <v>8</v>
      </c>
      <c r="O222" s="99">
        <f>IFERROR(VLOOKUP(A222,Devamsızlıklar!A:K,10,0),0)</f>
        <v>0</v>
      </c>
      <c r="P222" s="101">
        <f>VLOOKUP(O222,Aralıklar!$A$2:$C$5,3,1)*VLOOKUP($O$2,'Kriter Ağırlık'!$A$1:$B$8,2,0)*E222*X222</f>
        <v>10</v>
      </c>
      <c r="Q222" s="99">
        <f>IFERROR(VLOOKUP(A222,Devamsızlıklar!A:K,8,0),0)</f>
        <v>0</v>
      </c>
      <c r="R222" s="99">
        <f>VLOOKUP(Q222,Aralıklar!$E$2:$G$5,3,1)</f>
        <v>1</v>
      </c>
      <c r="S222" s="99">
        <f>IFERROR(VLOOKUP(A222,Devamsızlıklar!A:K,9,0),0)</f>
        <v>0</v>
      </c>
      <c r="T222" s="99">
        <f>VLOOKUP(S222,Aralıklar!$I$2:$K$6,3,1)</f>
        <v>50</v>
      </c>
      <c r="U222" s="99">
        <f>IFERROR(VLOOKUP(A222,Devamsızlıklar!A:K,11,0),0)</f>
        <v>0</v>
      </c>
      <c r="V222" s="99">
        <f>VLOOKUP(U222,Aralıklar!$M$2:$O$6,3,1)</f>
        <v>50</v>
      </c>
      <c r="W222" s="40">
        <f>IF(X222=0,0,(T222+V222)*R222*VLOOKUP($W$2,'Kriter Ağırlık'!$A$1:$B$8,2,1)*E222)</f>
        <v>10</v>
      </c>
      <c r="X222" s="101">
        <f>IFERROR(VLOOKUP(A222,Devamsızlıklar!A:M,13,0),1)</f>
        <v>1</v>
      </c>
      <c r="Y222" s="101">
        <f>(OEE!$K$6*VLOOKUP($Y$2,'Kriter Ağırlık'!$A$1:$B$8,2,1))*X222*E222</f>
        <v>35</v>
      </c>
      <c r="Z222" s="101">
        <f>(TELEF!$I$10*VLOOKUP($Z$2,'Kriter Ağırlık'!$A$1:$B$8,2,1))*X222*E222</f>
        <v>15</v>
      </c>
      <c r="AA222" s="101">
        <f t="shared" si="19"/>
        <v>92</v>
      </c>
      <c r="AB222" s="99">
        <v>5</v>
      </c>
      <c r="AC222" s="99">
        <f>VLOOKUP(AB222,'Kriter Ağırlık'!$A$12:$C$17,3,0)</f>
        <v>18.5</v>
      </c>
      <c r="AD222" s="106">
        <v>4</v>
      </c>
      <c r="AE222" s="99">
        <f>VLOOKUP(AD222,'Kriter Ağırlık'!$E$12:$G$24,3,0)</f>
        <v>1.077</v>
      </c>
      <c r="AF222" s="102">
        <f t="shared" si="20"/>
        <v>1833.0539999999999</v>
      </c>
      <c r="AG222" t="str">
        <f>VLOOKUP(A222,'Çalışan Listesi'!A:G,6,0)</f>
        <v>OPERATÖR</v>
      </c>
    </row>
    <row r="223" spans="1:33" x14ac:dyDescent="0.2">
      <c r="A223" s="2">
        <v>4402</v>
      </c>
      <c r="B223" s="3" t="s">
        <v>268</v>
      </c>
      <c r="C223" s="4">
        <v>43423</v>
      </c>
      <c r="D223" s="5">
        <f t="shared" si="21"/>
        <v>90</v>
      </c>
      <c r="E223" s="6">
        <f t="shared" si="18"/>
        <v>1</v>
      </c>
      <c r="F223" s="25" t="s">
        <v>426</v>
      </c>
      <c r="G223" s="3" t="s">
        <v>269</v>
      </c>
      <c r="H223" s="106" t="str">
        <f>VLOOKUP(A223,'Çalışan Listesi'!A:G,7,0)</f>
        <v>2.KADEME</v>
      </c>
      <c r="I223" s="65">
        <f>IFERROR(VLOOKUP(A223,'Kaizen Listesi'!A:H,8,0),0)</f>
        <v>33.333333333333336</v>
      </c>
      <c r="J223" s="65">
        <f>I223*VLOOKUP($I$2,'Kriter Ağırlık'!$A$1:$B$8,2,0)</f>
        <v>4</v>
      </c>
      <c r="K223" s="65">
        <f>IFERROR(VLOOKUP(A223,'Hata Kartı '!A:H,8,0),0)</f>
        <v>66.666666666666671</v>
      </c>
      <c r="L223" s="65">
        <f>K223*(VLOOKUP($K$2,'Kriter Ağırlık'!$A$1:$B$8,2,0))</f>
        <v>6.6666666666666679</v>
      </c>
      <c r="M223" s="65">
        <f>IFERROR(VLOOKUP(F223,'5S'!$B$8:$E$19,4,0),0)</f>
        <v>1</v>
      </c>
      <c r="N223" s="65">
        <f>VLOOKUP(M223,'5S'!$G$8:$I$14,3,1)*VLOOKUP($M$2,'Kriter Ağırlık'!$A$1:$B$8,2,0)*E223*X223</f>
        <v>7.4666666666666668</v>
      </c>
      <c r="O223" s="1">
        <f>IFERROR(VLOOKUP(A223,Devamsızlıklar!A:K,10,0),0)</f>
        <v>0</v>
      </c>
      <c r="P223" s="40">
        <f>VLOOKUP(O223,Aralıklar!$A$2:$C$5,3,1)*VLOOKUP($O$2,'Kriter Ağırlık'!$A$1:$B$8,2,0)*E223*X223</f>
        <v>9.3333333333333339</v>
      </c>
      <c r="Q223" s="1">
        <f>IFERROR(VLOOKUP(A223,Devamsızlıklar!A:K,8,0),0)</f>
        <v>0</v>
      </c>
      <c r="R223" s="33">
        <f>VLOOKUP(Q223,Aralıklar!$E$2:$G$5,3,1)</f>
        <v>1</v>
      </c>
      <c r="S223" s="33">
        <f>IFERROR(VLOOKUP(A223,Devamsızlıklar!A:K,9,0),0)</f>
        <v>5</v>
      </c>
      <c r="T223" s="33">
        <f>VLOOKUP(S223,Aralıklar!$I$2:$K$6,3,1)</f>
        <v>25</v>
      </c>
      <c r="U223" s="33">
        <f>IFERROR(VLOOKUP(A223,Devamsızlıklar!A:K,11,0),0)</f>
        <v>1</v>
      </c>
      <c r="V223" s="33">
        <f>VLOOKUP(U223,Aralıklar!$M$2:$O$6,3,1)</f>
        <v>50</v>
      </c>
      <c r="W223" s="40">
        <f>IF(X223=0,0,(T223+V223)*R223*VLOOKUP($W$2,'Kriter Ağırlık'!$A$1:$B$8,2,1)*E223)</f>
        <v>7.5</v>
      </c>
      <c r="X223" s="40">
        <f>IFERROR(VLOOKUP(A223,Devamsızlıklar!A:M,13,0),1)</f>
        <v>0.93333333333333335</v>
      </c>
      <c r="Y223" s="40">
        <f>(OEE!$K$6*VLOOKUP($Y$2,'Kriter Ağırlık'!$A$1:$B$8,2,1))*X223*E223</f>
        <v>32.666666666666664</v>
      </c>
      <c r="Z223" s="40">
        <f>(TELEF!$I$10*VLOOKUP($Z$2,'Kriter Ağırlık'!$A$1:$B$8,2,1))*X223*E223</f>
        <v>14</v>
      </c>
      <c r="AA223" s="40">
        <f t="shared" si="19"/>
        <v>81.633333333333326</v>
      </c>
      <c r="AB223" s="1">
        <v>4</v>
      </c>
      <c r="AC223" s="33">
        <f>VLOOKUP(AB223,'Kriter Ağırlık'!$A$12:$C$17,3,0)</f>
        <v>13.5</v>
      </c>
      <c r="AD223" s="106">
        <v>4</v>
      </c>
      <c r="AE223" s="33">
        <v>1</v>
      </c>
      <c r="AF223" s="92">
        <f t="shared" si="20"/>
        <v>1102.05</v>
      </c>
      <c r="AG223" t="str">
        <f>VLOOKUP(A223,'Çalışan Listesi'!A:G,6,0)</f>
        <v>TAKIM LİDERİ YARDIMCISI</v>
      </c>
    </row>
    <row r="224" spans="1:33" x14ac:dyDescent="0.2">
      <c r="A224" s="2">
        <v>4414</v>
      </c>
      <c r="B224" s="3" t="s">
        <v>270</v>
      </c>
      <c r="C224" s="4">
        <v>43430</v>
      </c>
      <c r="D224" s="5">
        <f t="shared" si="21"/>
        <v>90</v>
      </c>
      <c r="E224" s="6">
        <f t="shared" si="18"/>
        <v>1</v>
      </c>
      <c r="F224" s="25" t="s">
        <v>422</v>
      </c>
      <c r="G224" s="3" t="s">
        <v>54</v>
      </c>
      <c r="H224" s="106" t="str">
        <f>VLOOKUP(A224,'Çalışan Listesi'!A:G,7,0)</f>
        <v>2.KADEME</v>
      </c>
      <c r="I224" s="65">
        <f>IFERROR(VLOOKUP(A224,'Kaizen Listesi'!A:H,8,0),0)</f>
        <v>0</v>
      </c>
      <c r="J224" s="65">
        <f>I224*VLOOKUP($I$2,'Kriter Ağırlık'!$A$1:$B$8,2,0)</f>
        <v>0</v>
      </c>
      <c r="K224" s="65">
        <f>IFERROR(VLOOKUP(A224,'Hata Kartı '!A:H,8,0),0)</f>
        <v>16.666666666666668</v>
      </c>
      <c r="L224" s="65">
        <f>K224*(VLOOKUP($K$2,'Kriter Ağırlık'!$A$1:$B$8,2,0))</f>
        <v>1.666666666666667</v>
      </c>
      <c r="M224" s="65">
        <f>IFERROR(VLOOKUP(F224,'5S'!$B$8:$E$19,4,0),0)</f>
        <v>1</v>
      </c>
      <c r="N224" s="65">
        <f>VLOOKUP(M224,'5S'!$G$8:$I$14,3,1)*VLOOKUP($M$2,'Kriter Ağırlık'!$A$1:$B$8,2,0)*E224*X224</f>
        <v>8</v>
      </c>
      <c r="O224" s="1">
        <f>IFERROR(VLOOKUP(A224,Devamsızlıklar!A:K,10,0),0)</f>
        <v>0</v>
      </c>
      <c r="P224" s="40">
        <f>VLOOKUP(O224,Aralıklar!$A$2:$C$5,3,1)*VLOOKUP($O$2,'Kriter Ağırlık'!$A$1:$B$8,2,0)*E224*X224</f>
        <v>10</v>
      </c>
      <c r="Q224" s="1">
        <f>IFERROR(VLOOKUP(A224,Devamsızlıklar!A:K,8,0),0)</f>
        <v>0</v>
      </c>
      <c r="R224" s="33">
        <f>VLOOKUP(Q224,Aralıklar!$E$2:$G$5,3,1)</f>
        <v>1</v>
      </c>
      <c r="S224" s="33">
        <f>IFERROR(VLOOKUP(A224,Devamsızlıklar!A:K,9,0),0)</f>
        <v>0</v>
      </c>
      <c r="T224" s="33">
        <f>VLOOKUP(S224,Aralıklar!$I$2:$K$6,3,1)</f>
        <v>50</v>
      </c>
      <c r="U224" s="33">
        <f>IFERROR(VLOOKUP(A224,Devamsızlıklar!A:K,11,0),0)</f>
        <v>0</v>
      </c>
      <c r="V224" s="33">
        <f>VLOOKUP(U224,Aralıklar!$M$2:$O$6,3,1)</f>
        <v>50</v>
      </c>
      <c r="W224" s="40">
        <f>IF(X224=0,0,(T224+V224)*R224*VLOOKUP($W$2,'Kriter Ağırlık'!$A$1:$B$8,2,1)*E224)</f>
        <v>10</v>
      </c>
      <c r="X224" s="40">
        <f>IFERROR(VLOOKUP(A224,Devamsızlıklar!A:M,13,0),1)</f>
        <v>1</v>
      </c>
      <c r="Y224" s="40">
        <f>(OEE!$K$6*VLOOKUP($Y$2,'Kriter Ağırlık'!$A$1:$B$8,2,1))*X224*E224</f>
        <v>35</v>
      </c>
      <c r="Z224" s="40">
        <f>(TELEF!$I$10*VLOOKUP($Z$2,'Kriter Ağırlık'!$A$1:$B$8,2,1))*X224*E224</f>
        <v>15</v>
      </c>
      <c r="AA224" s="40">
        <f t="shared" si="19"/>
        <v>79.666666666666671</v>
      </c>
      <c r="AB224" s="1">
        <v>5</v>
      </c>
      <c r="AC224" s="33">
        <f>VLOOKUP(AB224,'Kriter Ağırlık'!$A$12:$C$17,3,0)</f>
        <v>18.5</v>
      </c>
      <c r="AD224" s="106">
        <v>4</v>
      </c>
      <c r="AE224" s="33">
        <f>VLOOKUP(AD224,'Kriter Ağırlık'!$E$12:$G$24,3,0)</f>
        <v>1.077</v>
      </c>
      <c r="AF224" s="92">
        <f t="shared" si="20"/>
        <v>1587.3185000000001</v>
      </c>
      <c r="AG224" t="str">
        <f>VLOOKUP(A224,'Çalışan Listesi'!A:G,6,0)</f>
        <v>OPERATÖR</v>
      </c>
    </row>
    <row r="225" spans="1:33" x14ac:dyDescent="0.2">
      <c r="A225" s="2">
        <v>4416</v>
      </c>
      <c r="B225" s="3" t="s">
        <v>271</v>
      </c>
      <c r="C225" s="4">
        <v>43430</v>
      </c>
      <c r="D225" s="5">
        <f t="shared" si="21"/>
        <v>90</v>
      </c>
      <c r="E225" s="6">
        <f t="shared" si="18"/>
        <v>1</v>
      </c>
      <c r="F225" s="25" t="s">
        <v>421</v>
      </c>
      <c r="G225" s="3" t="s">
        <v>10</v>
      </c>
      <c r="H225" s="106" t="str">
        <f>VLOOKUP(A225,'Çalışan Listesi'!A:G,7,0)</f>
        <v>2.KADEME</v>
      </c>
      <c r="I225" s="65">
        <f>IFERROR(VLOOKUP(A225,'Kaizen Listesi'!A:H,8,0),0)</f>
        <v>0</v>
      </c>
      <c r="J225" s="65">
        <f>I225*VLOOKUP($I$2,'Kriter Ağırlık'!$A$1:$B$8,2,0)</f>
        <v>0</v>
      </c>
      <c r="K225" s="65">
        <f>IFERROR(VLOOKUP(A225,'Hata Kartı '!A:H,8,0),0)</f>
        <v>0</v>
      </c>
      <c r="L225" s="65">
        <f>K225*(VLOOKUP($K$2,'Kriter Ağırlık'!$A$1:$B$8,2,0))</f>
        <v>0</v>
      </c>
      <c r="M225" s="65">
        <f>IFERROR(VLOOKUP(F225,'5S'!$B$8:$E$19,4,0),0)</f>
        <v>1</v>
      </c>
      <c r="N225" s="65">
        <f>VLOOKUP(M225,'5S'!$G$8:$I$14,3,1)*VLOOKUP($M$2,'Kriter Ağırlık'!$A$1:$B$8,2,0)*E225*X225</f>
        <v>8</v>
      </c>
      <c r="O225" s="1">
        <f>IFERROR(VLOOKUP(A225,Devamsızlıklar!A:K,10,0),0)</f>
        <v>0</v>
      </c>
      <c r="P225" s="40">
        <f>VLOOKUP(O225,Aralıklar!$A$2:$C$5,3,1)*VLOOKUP($O$2,'Kriter Ağırlık'!$A$1:$B$8,2,0)*E225*X225</f>
        <v>10</v>
      </c>
      <c r="Q225" s="1">
        <f>IFERROR(VLOOKUP(A225,Devamsızlıklar!A:K,8,0),0)</f>
        <v>0</v>
      </c>
      <c r="R225" s="33">
        <f>VLOOKUP(Q225,Aralıklar!$E$2:$G$5,3,1)</f>
        <v>1</v>
      </c>
      <c r="S225" s="33">
        <f>IFERROR(VLOOKUP(A225,Devamsızlıklar!A:K,9,0),0)</f>
        <v>0</v>
      </c>
      <c r="T225" s="33">
        <f>VLOOKUP(S225,Aralıklar!$I$2:$K$6,3,1)</f>
        <v>50</v>
      </c>
      <c r="U225" s="33">
        <f>IFERROR(VLOOKUP(A225,Devamsızlıklar!A:K,11,0),0)</f>
        <v>0</v>
      </c>
      <c r="V225" s="33">
        <f>VLOOKUP(U225,Aralıklar!$M$2:$O$6,3,1)</f>
        <v>50</v>
      </c>
      <c r="W225" s="40">
        <f>IF(X225=0,0,(T225+V225)*R225*VLOOKUP($W$2,'Kriter Ağırlık'!$A$1:$B$8,2,1)*E225)</f>
        <v>10</v>
      </c>
      <c r="X225" s="40">
        <f>IFERROR(VLOOKUP(A225,Devamsızlıklar!A:M,13,0),1)</f>
        <v>1</v>
      </c>
      <c r="Y225" s="40">
        <f>(OEE!$K$6*VLOOKUP($Y$2,'Kriter Ağırlık'!$A$1:$B$8,2,1))*X225*E225</f>
        <v>35</v>
      </c>
      <c r="Z225" s="40">
        <f>(TELEF!$I$10*VLOOKUP($Z$2,'Kriter Ağırlık'!$A$1:$B$8,2,1))*X225*E225</f>
        <v>15</v>
      </c>
      <c r="AA225" s="40">
        <f t="shared" si="19"/>
        <v>78</v>
      </c>
      <c r="AB225" s="1">
        <v>5</v>
      </c>
      <c r="AC225" s="33">
        <f>VLOOKUP(AB225,'Kriter Ağırlık'!$A$12:$C$17,3,0)</f>
        <v>18.5</v>
      </c>
      <c r="AD225" s="106">
        <v>4</v>
      </c>
      <c r="AE225" s="33">
        <f>VLOOKUP(AD225,'Kriter Ağırlık'!$E$12:$G$24,3,0)</f>
        <v>1.077</v>
      </c>
      <c r="AF225" s="92">
        <f t="shared" si="20"/>
        <v>1554.1109999999999</v>
      </c>
      <c r="AG225" t="str">
        <f>VLOOKUP(A225,'Çalışan Listesi'!A:G,6,0)</f>
        <v>OPERATÖR</v>
      </c>
    </row>
    <row r="226" spans="1:33" x14ac:dyDescent="0.2">
      <c r="A226" s="2">
        <v>4424</v>
      </c>
      <c r="B226" s="3" t="s">
        <v>272</v>
      </c>
      <c r="C226" s="4">
        <v>43437</v>
      </c>
      <c r="D226" s="5">
        <f t="shared" si="21"/>
        <v>90</v>
      </c>
      <c r="E226" s="6">
        <f t="shared" si="18"/>
        <v>1</v>
      </c>
      <c r="F226" s="25" t="s">
        <v>421</v>
      </c>
      <c r="G226" s="3" t="s">
        <v>10</v>
      </c>
      <c r="H226" s="106" t="str">
        <f>VLOOKUP(A226,'Çalışan Listesi'!A:G,7,0)</f>
        <v>2.KADEME</v>
      </c>
      <c r="I226" s="65">
        <f>IFERROR(VLOOKUP(A226,'Kaizen Listesi'!A:H,8,0),0)</f>
        <v>0</v>
      </c>
      <c r="J226" s="65">
        <f>I226*VLOOKUP($I$2,'Kriter Ağırlık'!$A$1:$B$8,2,0)</f>
        <v>0</v>
      </c>
      <c r="K226" s="65">
        <f>IFERROR(VLOOKUP(A226,'Hata Kartı '!A:H,8,0),0)</f>
        <v>50</v>
      </c>
      <c r="L226" s="65">
        <f>K226*(VLOOKUP($K$2,'Kriter Ağırlık'!$A$1:$B$8,2,0))</f>
        <v>5</v>
      </c>
      <c r="M226" s="65">
        <f>IFERROR(VLOOKUP(F226,'5S'!$B$8:$E$19,4,0),0)</f>
        <v>1</v>
      </c>
      <c r="N226" s="65">
        <f>VLOOKUP(M226,'5S'!$G$8:$I$14,3,1)*VLOOKUP($M$2,'Kriter Ağırlık'!$A$1:$B$8,2,0)*E226*X226</f>
        <v>7.2888888888888888</v>
      </c>
      <c r="O226" s="1">
        <f>IFERROR(VLOOKUP(A226,Devamsızlıklar!A:K,10,0),0)</f>
        <v>0</v>
      </c>
      <c r="P226" s="40">
        <f>VLOOKUP(O226,Aralıklar!$A$2:$C$5,3,1)*VLOOKUP($O$2,'Kriter Ağırlık'!$A$1:$B$8,2,0)*E226*X226</f>
        <v>9.1111111111111107</v>
      </c>
      <c r="Q226" s="1">
        <f>IFERROR(VLOOKUP(A226,Devamsızlıklar!A:K,8,0),0)</f>
        <v>0</v>
      </c>
      <c r="R226" s="33">
        <f>VLOOKUP(Q226,Aralıklar!$E$2:$G$5,3,1)</f>
        <v>1</v>
      </c>
      <c r="S226" s="33">
        <f>IFERROR(VLOOKUP(A226,Devamsızlıklar!A:K,9,0),0)</f>
        <v>2</v>
      </c>
      <c r="T226" s="33">
        <f>VLOOKUP(S226,Aralıklar!$I$2:$K$6,3,1)</f>
        <v>50</v>
      </c>
      <c r="U226" s="33">
        <f>IFERROR(VLOOKUP(A226,Devamsızlıklar!A:K,11,0),0)</f>
        <v>0</v>
      </c>
      <c r="V226" s="33">
        <f>VLOOKUP(U226,Aralıklar!$M$2:$O$6,3,1)</f>
        <v>50</v>
      </c>
      <c r="W226" s="40">
        <f>IF(X226=0,0,(T226+V226)*R226*VLOOKUP($W$2,'Kriter Ağırlık'!$A$1:$B$8,2,1)*E226)</f>
        <v>10</v>
      </c>
      <c r="X226" s="40">
        <f>IFERROR(VLOOKUP(A226,Devamsızlıklar!A:M,13,0),1)</f>
        <v>0.91111111111111109</v>
      </c>
      <c r="Y226" s="40">
        <f>(OEE!$K$6*VLOOKUP($Y$2,'Kriter Ağırlık'!$A$1:$B$8,2,1))*X226*E226</f>
        <v>31.888888888888889</v>
      </c>
      <c r="Z226" s="40">
        <f>(TELEF!$I$10*VLOOKUP($Z$2,'Kriter Ağırlık'!$A$1:$B$8,2,1))*X226*E226</f>
        <v>13.666666666666666</v>
      </c>
      <c r="AA226" s="40">
        <f t="shared" si="19"/>
        <v>76.955555555555563</v>
      </c>
      <c r="AB226" s="1">
        <v>5</v>
      </c>
      <c r="AC226" s="33">
        <f>VLOOKUP(AB226,'Kriter Ağırlık'!$A$12:$C$17,3,0)</f>
        <v>18.5</v>
      </c>
      <c r="AD226" s="106">
        <v>4</v>
      </c>
      <c r="AE226" s="33">
        <f>VLOOKUP(AD226,'Kriter Ağırlık'!$E$12:$G$24,3,0)</f>
        <v>1.077</v>
      </c>
      <c r="AF226" s="92">
        <f t="shared" si="20"/>
        <v>1533.3009666666667</v>
      </c>
      <c r="AG226" t="str">
        <f>VLOOKUP(A226,'Çalışan Listesi'!A:G,6,0)</f>
        <v>OPERATÖR</v>
      </c>
    </row>
    <row r="227" spans="1:33" x14ac:dyDescent="0.2">
      <c r="A227" s="2">
        <v>4431</v>
      </c>
      <c r="B227" s="3" t="s">
        <v>273</v>
      </c>
      <c r="C227" s="4">
        <v>43472</v>
      </c>
      <c r="D227" s="5">
        <f t="shared" si="21"/>
        <v>90</v>
      </c>
      <c r="E227" s="6">
        <f t="shared" si="18"/>
        <v>1</v>
      </c>
      <c r="F227" s="25" t="s">
        <v>429</v>
      </c>
      <c r="G227" s="3" t="s">
        <v>46</v>
      </c>
      <c r="H227" s="106" t="str">
        <f>VLOOKUP(A227,'Çalışan Listesi'!A:G,7,0)</f>
        <v>2.KADEME</v>
      </c>
      <c r="I227" s="65">
        <f>IFERROR(VLOOKUP(A227,'Kaizen Listesi'!A:H,8,0),0)</f>
        <v>0</v>
      </c>
      <c r="J227" s="65">
        <f>I227*VLOOKUP($I$2,'Kriter Ağırlık'!$A$1:$B$8,2,0)</f>
        <v>0</v>
      </c>
      <c r="K227" s="65">
        <f>IFERROR(VLOOKUP(A227,'Hata Kartı '!A:H,8,0),0)</f>
        <v>16.666666666666668</v>
      </c>
      <c r="L227" s="65">
        <f>K227*(VLOOKUP($K$2,'Kriter Ağırlık'!$A$1:$B$8,2,0))</f>
        <v>1.666666666666667</v>
      </c>
      <c r="M227" s="65">
        <f>IFERROR(VLOOKUP(F227,'5S'!$B$8:$E$19,4,0),0)</f>
        <v>1</v>
      </c>
      <c r="N227" s="65">
        <f>VLOOKUP(M227,'5S'!$G$8:$I$14,3,1)*VLOOKUP($M$2,'Kriter Ağırlık'!$A$1:$B$8,2,0)*E227*X227</f>
        <v>8</v>
      </c>
      <c r="O227" s="1">
        <f>IFERROR(VLOOKUP(A227,Devamsızlıklar!A:K,10,0),0)</f>
        <v>0</v>
      </c>
      <c r="P227" s="40">
        <f>VLOOKUP(O227,Aralıklar!$A$2:$C$5,3,1)*VLOOKUP($O$2,'Kriter Ağırlık'!$A$1:$B$8,2,0)*E227*X227</f>
        <v>10</v>
      </c>
      <c r="Q227" s="1">
        <f>IFERROR(VLOOKUP(A227,Devamsızlıklar!A:K,8,0),0)</f>
        <v>0</v>
      </c>
      <c r="R227" s="33">
        <f>VLOOKUP(Q227,Aralıklar!$E$2:$G$5,3,1)</f>
        <v>1</v>
      </c>
      <c r="S227" s="33">
        <f>IFERROR(VLOOKUP(A227,Devamsızlıklar!A:K,9,0),0)</f>
        <v>0</v>
      </c>
      <c r="T227" s="33">
        <f>VLOOKUP(S227,Aralıklar!$I$2:$K$6,3,1)</f>
        <v>50</v>
      </c>
      <c r="U227" s="33">
        <f>IFERROR(VLOOKUP(A227,Devamsızlıklar!A:K,11,0),0)</f>
        <v>0</v>
      </c>
      <c r="V227" s="33">
        <f>VLOOKUP(U227,Aralıklar!$M$2:$O$6,3,1)</f>
        <v>50</v>
      </c>
      <c r="W227" s="40">
        <f>IF(X227=0,0,(T227+V227)*R227*VLOOKUP($W$2,'Kriter Ağırlık'!$A$1:$B$8,2,1)*E227)</f>
        <v>10</v>
      </c>
      <c r="X227" s="40">
        <f>IFERROR(VLOOKUP(A227,Devamsızlıklar!A:M,13,0),1)</f>
        <v>1</v>
      </c>
      <c r="Y227" s="40">
        <f>(OEE!$K$6*VLOOKUP($Y$2,'Kriter Ağırlık'!$A$1:$B$8,2,1))*X227*E227</f>
        <v>35</v>
      </c>
      <c r="Z227" s="40">
        <f>(TELEF!$I$10*VLOOKUP($Z$2,'Kriter Ağırlık'!$A$1:$B$8,2,1))*X227*E227</f>
        <v>15</v>
      </c>
      <c r="AA227" s="40">
        <f t="shared" si="19"/>
        <v>79.666666666666671</v>
      </c>
      <c r="AB227" s="1">
        <v>5</v>
      </c>
      <c r="AC227" s="33">
        <f>VLOOKUP(AB227,'Kriter Ağırlık'!$A$12:$C$17,3,0)</f>
        <v>18.5</v>
      </c>
      <c r="AD227" s="106">
        <v>4</v>
      </c>
      <c r="AE227" s="33">
        <f>VLOOKUP(AD227,'Kriter Ağırlık'!$E$12:$G$24,3,0)</f>
        <v>1.077</v>
      </c>
      <c r="AF227" s="92">
        <f t="shared" si="20"/>
        <v>1587.3185000000001</v>
      </c>
      <c r="AG227" t="str">
        <f>VLOOKUP(A227,'Çalışan Listesi'!A:G,6,0)</f>
        <v>OPERATÖR</v>
      </c>
    </row>
    <row r="228" spans="1:33" x14ac:dyDescent="0.2">
      <c r="A228" s="2">
        <v>4434</v>
      </c>
      <c r="B228" s="3" t="s">
        <v>274</v>
      </c>
      <c r="C228" s="4">
        <v>43472</v>
      </c>
      <c r="D228" s="5">
        <f t="shared" si="21"/>
        <v>90</v>
      </c>
      <c r="E228" s="6">
        <f t="shared" si="18"/>
        <v>1</v>
      </c>
      <c r="F228" s="25" t="s">
        <v>431</v>
      </c>
      <c r="G228" s="3" t="s">
        <v>125</v>
      </c>
      <c r="H228" s="106" t="str">
        <f>VLOOKUP(A228,'Çalışan Listesi'!A:G,7,0)</f>
        <v>2.KADEME</v>
      </c>
      <c r="I228" s="65">
        <f>IFERROR(VLOOKUP(A228,'Kaizen Listesi'!A:H,8,0),0)</f>
        <v>0</v>
      </c>
      <c r="J228" s="65">
        <f>I228*VLOOKUP($I$2,'Kriter Ağırlık'!$A$1:$B$8,2,0)</f>
        <v>0</v>
      </c>
      <c r="K228" s="65">
        <f>IFERROR(VLOOKUP(A228,'Hata Kartı '!A:H,8,0),0)</f>
        <v>50</v>
      </c>
      <c r="L228" s="65">
        <f>K228*(VLOOKUP($K$2,'Kriter Ağırlık'!$A$1:$B$8,2,0))</f>
        <v>5</v>
      </c>
      <c r="M228" s="65">
        <f>IFERROR(VLOOKUP(F228,'5S'!$B$8:$E$19,4,0),0)</f>
        <v>1</v>
      </c>
      <c r="N228" s="65">
        <f>VLOOKUP(M228,'5S'!$G$8:$I$14,3,1)*VLOOKUP($M$2,'Kriter Ağırlık'!$A$1:$B$8,2,0)*E228*X228</f>
        <v>8</v>
      </c>
      <c r="O228" s="1">
        <f>IFERROR(VLOOKUP(A228,Devamsızlıklar!A:K,10,0),0)</f>
        <v>0</v>
      </c>
      <c r="P228" s="40">
        <f>VLOOKUP(O228,Aralıklar!$A$2:$C$5,3,1)*VLOOKUP($O$2,'Kriter Ağırlık'!$A$1:$B$8,2,0)*E228*X228</f>
        <v>10</v>
      </c>
      <c r="Q228" s="1">
        <f>IFERROR(VLOOKUP(A228,Devamsızlıklar!A:K,8,0),0)</f>
        <v>0</v>
      </c>
      <c r="R228" s="33">
        <f>VLOOKUP(Q228,Aralıklar!$E$2:$G$5,3,1)</f>
        <v>1</v>
      </c>
      <c r="S228" s="33">
        <f>IFERROR(VLOOKUP(A228,Devamsızlıklar!A:K,9,0),0)</f>
        <v>0</v>
      </c>
      <c r="T228" s="33">
        <f>VLOOKUP(S228,Aralıklar!$I$2:$K$6,3,1)</f>
        <v>50</v>
      </c>
      <c r="U228" s="33">
        <f>IFERROR(VLOOKUP(A228,Devamsızlıklar!A:K,11,0),0)</f>
        <v>0</v>
      </c>
      <c r="V228" s="33">
        <f>VLOOKUP(U228,Aralıklar!$M$2:$O$6,3,1)</f>
        <v>50</v>
      </c>
      <c r="W228" s="40">
        <f>IF(X228=0,0,(T228+V228)*R228*VLOOKUP($W$2,'Kriter Ağırlık'!$A$1:$B$8,2,1)*E228)</f>
        <v>10</v>
      </c>
      <c r="X228" s="40">
        <f>IFERROR(VLOOKUP(A228,Devamsızlıklar!A:M,13,0),1)</f>
        <v>1</v>
      </c>
      <c r="Y228" s="40">
        <f>(OEE!$K$6*VLOOKUP($Y$2,'Kriter Ağırlık'!$A$1:$B$8,2,1))*X228*E228</f>
        <v>35</v>
      </c>
      <c r="Z228" s="40">
        <f>(TELEF!$I$10*VLOOKUP($Z$2,'Kriter Ağırlık'!$A$1:$B$8,2,1))*X228*E228</f>
        <v>15</v>
      </c>
      <c r="AA228" s="40">
        <f t="shared" si="19"/>
        <v>83</v>
      </c>
      <c r="AB228" s="1">
        <v>5</v>
      </c>
      <c r="AC228" s="33">
        <f>VLOOKUP(AB228,'Kriter Ağırlık'!$A$12:$C$17,3,0)</f>
        <v>18.5</v>
      </c>
      <c r="AD228" s="106">
        <v>4</v>
      </c>
      <c r="AE228" s="33">
        <f>VLOOKUP(AD228,'Kriter Ağırlık'!$E$12:$G$24,3,0)</f>
        <v>1.077</v>
      </c>
      <c r="AF228" s="92">
        <f t="shared" si="20"/>
        <v>1653.7334999999998</v>
      </c>
      <c r="AG228" t="str">
        <f>VLOOKUP(A228,'Çalışan Listesi'!A:G,6,0)</f>
        <v>OPERATÖR</v>
      </c>
    </row>
    <row r="229" spans="1:33" x14ac:dyDescent="0.2">
      <c r="A229" s="2">
        <v>4483</v>
      </c>
      <c r="B229" s="3" t="s">
        <v>275</v>
      </c>
      <c r="C229" s="4">
        <v>43564</v>
      </c>
      <c r="D229" s="5">
        <f t="shared" si="21"/>
        <v>90</v>
      </c>
      <c r="E229" s="6">
        <f t="shared" si="18"/>
        <v>1</v>
      </c>
      <c r="F229" s="25" t="s">
        <v>422</v>
      </c>
      <c r="G229" s="3" t="s">
        <v>54</v>
      </c>
      <c r="H229" s="106" t="str">
        <f>VLOOKUP(A229,'Çalışan Listesi'!A:G,7,0)</f>
        <v>2.KADEME</v>
      </c>
      <c r="I229" s="65">
        <f>IFERROR(VLOOKUP(A229,'Kaizen Listesi'!A:H,8,0),0)</f>
        <v>0</v>
      </c>
      <c r="J229" s="65">
        <f>I229*VLOOKUP($I$2,'Kriter Ağırlık'!$A$1:$B$8,2,0)</f>
        <v>0</v>
      </c>
      <c r="K229" s="65">
        <f>IFERROR(VLOOKUP(A229,'Hata Kartı '!A:H,8,0),0)</f>
        <v>0</v>
      </c>
      <c r="L229" s="65">
        <f>K229*(VLOOKUP($K$2,'Kriter Ağırlık'!$A$1:$B$8,2,0))</f>
        <v>0</v>
      </c>
      <c r="M229" s="65">
        <f>IFERROR(VLOOKUP(F229,'5S'!$B$8:$E$19,4,0),0)</f>
        <v>1</v>
      </c>
      <c r="N229" s="65">
        <f>VLOOKUP(M229,'5S'!$G$8:$I$14,3,1)*VLOOKUP($M$2,'Kriter Ağırlık'!$A$1:$B$8,2,0)*E229*X229</f>
        <v>8</v>
      </c>
      <c r="O229" s="1">
        <f>IFERROR(VLOOKUP(A229,Devamsızlıklar!A:K,10,0),0)</f>
        <v>0</v>
      </c>
      <c r="P229" s="40">
        <f>VLOOKUP(O229,Aralıklar!$A$2:$C$5,3,1)*VLOOKUP($O$2,'Kriter Ağırlık'!$A$1:$B$8,2,0)*E229*X229</f>
        <v>10</v>
      </c>
      <c r="Q229" s="1">
        <f>IFERROR(VLOOKUP(A229,Devamsızlıklar!A:K,8,0),0)</f>
        <v>0</v>
      </c>
      <c r="R229" s="33">
        <f>VLOOKUP(Q229,Aralıklar!$E$2:$G$5,3,1)</f>
        <v>1</v>
      </c>
      <c r="S229" s="33">
        <f>IFERROR(VLOOKUP(A229,Devamsızlıklar!A:K,9,0),0)</f>
        <v>0</v>
      </c>
      <c r="T229" s="33">
        <f>VLOOKUP(S229,Aralıklar!$I$2:$K$6,3,1)</f>
        <v>50</v>
      </c>
      <c r="U229" s="33">
        <f>IFERROR(VLOOKUP(A229,Devamsızlıklar!A:K,11,0),0)</f>
        <v>0</v>
      </c>
      <c r="V229" s="33">
        <f>VLOOKUP(U229,Aralıklar!$M$2:$O$6,3,1)</f>
        <v>50</v>
      </c>
      <c r="W229" s="40">
        <f>IF(X229=0,0,(T229+V229)*R229*VLOOKUP($W$2,'Kriter Ağırlık'!$A$1:$B$8,2,1)*E229)</f>
        <v>10</v>
      </c>
      <c r="X229" s="40">
        <f>IFERROR(VLOOKUP(A229,Devamsızlıklar!A:M,13,0),1)</f>
        <v>1</v>
      </c>
      <c r="Y229" s="40">
        <f>(OEE!$K$6*VLOOKUP($Y$2,'Kriter Ağırlık'!$A$1:$B$8,2,1))*X229*E229</f>
        <v>35</v>
      </c>
      <c r="Z229" s="40">
        <f>(TELEF!$I$10*VLOOKUP($Z$2,'Kriter Ağırlık'!$A$1:$B$8,2,1))*X229*E229</f>
        <v>15</v>
      </c>
      <c r="AA229" s="40">
        <f t="shared" si="19"/>
        <v>78</v>
      </c>
      <c r="AB229" s="1">
        <v>5</v>
      </c>
      <c r="AC229" s="33">
        <f>VLOOKUP(AB229,'Kriter Ağırlık'!$A$12:$C$17,3,0)</f>
        <v>18.5</v>
      </c>
      <c r="AD229" s="106">
        <v>4</v>
      </c>
      <c r="AE229" s="33">
        <f>VLOOKUP(AD229,'Kriter Ağırlık'!$E$12:$G$24,3,0)</f>
        <v>1.077</v>
      </c>
      <c r="AF229" s="92">
        <f t="shared" si="20"/>
        <v>1554.1109999999999</v>
      </c>
      <c r="AG229" t="str">
        <f>VLOOKUP(A229,'Çalışan Listesi'!A:G,6,0)</f>
        <v>OPERATÖR</v>
      </c>
    </row>
    <row r="230" spans="1:33" x14ac:dyDescent="0.2">
      <c r="A230" s="2">
        <v>4501</v>
      </c>
      <c r="B230" s="3" t="s">
        <v>516</v>
      </c>
      <c r="C230" s="4">
        <v>43584</v>
      </c>
      <c r="D230" s="5">
        <f t="shared" si="21"/>
        <v>90</v>
      </c>
      <c r="E230" s="6">
        <f t="shared" si="18"/>
        <v>1</v>
      </c>
      <c r="F230" s="72" t="s">
        <v>430</v>
      </c>
      <c r="G230" s="3" t="s">
        <v>515</v>
      </c>
      <c r="H230" s="106" t="s">
        <v>407</v>
      </c>
      <c r="I230" s="65">
        <f>IFERROR(VLOOKUP(A230,'Kaizen Listesi'!A:H,8,0),0)</f>
        <v>0</v>
      </c>
      <c r="J230" s="65">
        <f>I230*VLOOKUP($I$2,'Kriter Ağırlık'!$A$1:$B$8,2,0)</f>
        <v>0</v>
      </c>
      <c r="K230" s="65">
        <f>IFERROR(VLOOKUP(A230,'Hata Kartı '!A:H,8,0),0)</f>
        <v>0</v>
      </c>
      <c r="L230" s="65">
        <f>K230*(VLOOKUP($K$2,'Kriter Ağırlık'!$A$1:$B$8,2,0))</f>
        <v>0</v>
      </c>
      <c r="M230" s="65">
        <f>IFERROR(VLOOKUP(F230,'5S'!$B$8:$E$19,4,0),0)</f>
        <v>1</v>
      </c>
      <c r="N230" s="65">
        <f>VLOOKUP(M230,'5S'!$G$8:$I$14,3,1)*VLOOKUP($M$2,'Kriter Ağırlık'!$A$1:$B$8,2,0)*E230*X230</f>
        <v>8</v>
      </c>
      <c r="O230" s="74">
        <f>IFERROR(VLOOKUP(A230,Devamsızlıklar!A:K,10,0),0)</f>
        <v>0</v>
      </c>
      <c r="P230" s="40">
        <f>VLOOKUP(O230,Aralıklar!$A$2:$C$5,3,1)*VLOOKUP($O$2,'Kriter Ağırlık'!$A$1:$B$8,2,0)*E230*X230</f>
        <v>10</v>
      </c>
      <c r="Q230" s="74">
        <f>IFERROR(VLOOKUP(A230,Devamsızlıklar!A:K,8,0),0)</f>
        <v>0</v>
      </c>
      <c r="R230" s="74">
        <f>VLOOKUP(Q230,Aralıklar!$E$2:$G$5,3,1)</f>
        <v>1</v>
      </c>
      <c r="S230" s="74">
        <f>IFERROR(VLOOKUP(A230,Devamsızlıklar!A:K,9,0),0)</f>
        <v>0</v>
      </c>
      <c r="T230" s="74">
        <f>VLOOKUP(S230,Aralıklar!$I$2:$K$6,3,1)</f>
        <v>50</v>
      </c>
      <c r="U230" s="74">
        <f>IFERROR(VLOOKUP(A230,Devamsızlıklar!A:K,11,0),0)</f>
        <v>0</v>
      </c>
      <c r="V230" s="74">
        <f>VLOOKUP(U230,Aralıklar!$M$2:$O$6,3,1)</f>
        <v>50</v>
      </c>
      <c r="W230" s="40">
        <f>IF(X230=0,0,(T230+V230)*R230*VLOOKUP($W$2,'Kriter Ağırlık'!$A$1:$B$8,2,1)*E230)</f>
        <v>10</v>
      </c>
      <c r="X230" s="40">
        <f>IFERROR(VLOOKUP(A230,Devamsızlıklar!A:M,13,0),1)</f>
        <v>1</v>
      </c>
      <c r="Y230" s="40">
        <f>(OEE!$K$6*VLOOKUP($Y$2,'Kriter Ağırlık'!$A$1:$B$8,2,1))*X230*E230</f>
        <v>35</v>
      </c>
      <c r="Z230" s="40">
        <f>(TELEF!$I$10*VLOOKUP($Z$2,'Kriter Ağırlık'!$A$1:$B$8,2,1))*X230*E230</f>
        <v>15</v>
      </c>
      <c r="AA230" s="40">
        <f t="shared" si="19"/>
        <v>78</v>
      </c>
      <c r="AB230" s="71">
        <v>5</v>
      </c>
      <c r="AC230" s="71">
        <f>VLOOKUP(AB230,'Kriter Ağırlık'!$A$12:$C$17,3,0)</f>
        <v>18.5</v>
      </c>
      <c r="AD230" s="74">
        <v>3</v>
      </c>
      <c r="AE230" s="74">
        <f>VLOOKUP(AD230,'Kriter Ağırlık'!$E$12:$G$24,3,0)</f>
        <v>1.1499999999999999</v>
      </c>
      <c r="AF230" s="92">
        <f t="shared" si="20"/>
        <v>1659.4499999999998</v>
      </c>
      <c r="AG230" t="e">
        <f>VLOOKUP(A230,'Çalışan Listesi'!A:G,6,0)</f>
        <v>#N/A</v>
      </c>
    </row>
    <row r="231" spans="1:33" x14ac:dyDescent="0.2">
      <c r="A231" s="2">
        <v>4502</v>
      </c>
      <c r="B231" s="3" t="s">
        <v>276</v>
      </c>
      <c r="C231" s="4">
        <v>43584</v>
      </c>
      <c r="D231" s="5">
        <f t="shared" si="21"/>
        <v>90</v>
      </c>
      <c r="E231" s="6">
        <f t="shared" si="18"/>
        <v>1</v>
      </c>
      <c r="F231" s="25" t="s">
        <v>432</v>
      </c>
      <c r="G231" s="3" t="s">
        <v>219</v>
      </c>
      <c r="H231" s="106" t="str">
        <f>VLOOKUP(A231,'Çalışan Listesi'!A:G,7,0)</f>
        <v>2.KADEME</v>
      </c>
      <c r="I231" s="65">
        <f>IFERROR(VLOOKUP(A231,'Kaizen Listesi'!A:H,8,0),0)</f>
        <v>66.666666666666671</v>
      </c>
      <c r="J231" s="65">
        <f>I231*VLOOKUP($I$2,'Kriter Ağırlık'!$A$1:$B$8,2,0)</f>
        <v>8</v>
      </c>
      <c r="K231" s="65">
        <f>IFERROR(VLOOKUP(A231,'Hata Kartı '!A:H,8,0),0)</f>
        <v>0</v>
      </c>
      <c r="L231" s="65">
        <f>K231*(VLOOKUP($K$2,'Kriter Ağırlık'!$A$1:$B$8,2,0))</f>
        <v>0</v>
      </c>
      <c r="M231" s="65">
        <f>IFERROR(VLOOKUP(F231,'5S'!$B$8:$E$19,4,0),0)</f>
        <v>1</v>
      </c>
      <c r="N231" s="65">
        <f>VLOOKUP(M231,'5S'!$G$8:$I$14,3,1)*VLOOKUP($M$2,'Kriter Ağırlık'!$A$1:$B$8,2,0)*E231*X231</f>
        <v>8</v>
      </c>
      <c r="O231" s="1">
        <f>IFERROR(VLOOKUP(A231,Devamsızlıklar!A:K,10,0),0)</f>
        <v>0</v>
      </c>
      <c r="P231" s="40">
        <f>VLOOKUP(O231,Aralıklar!$A$2:$C$5,3,1)*VLOOKUP($O$2,'Kriter Ağırlık'!$A$1:$B$8,2,0)*E231*X231</f>
        <v>10</v>
      </c>
      <c r="Q231" s="1">
        <f>IFERROR(VLOOKUP(A231,Devamsızlıklar!A:K,8,0),0)</f>
        <v>0</v>
      </c>
      <c r="R231" s="33">
        <f>VLOOKUP(Q231,Aralıklar!$E$2:$G$5,3,1)</f>
        <v>1</v>
      </c>
      <c r="S231" s="33">
        <f>IFERROR(VLOOKUP(A231,Devamsızlıklar!A:K,9,0),0)</f>
        <v>0</v>
      </c>
      <c r="T231" s="33">
        <f>VLOOKUP(S231,Aralıklar!$I$2:$K$6,3,1)</f>
        <v>50</v>
      </c>
      <c r="U231" s="33">
        <f>IFERROR(VLOOKUP(A231,Devamsızlıklar!A:K,11,0),0)</f>
        <v>0</v>
      </c>
      <c r="V231" s="33">
        <f>VLOOKUP(U231,Aralıklar!$M$2:$O$6,3,1)</f>
        <v>50</v>
      </c>
      <c r="W231" s="40">
        <f>IF(X231=0,0,(T231+V231)*R231*VLOOKUP($W$2,'Kriter Ağırlık'!$A$1:$B$8,2,1)*E231)</f>
        <v>10</v>
      </c>
      <c r="X231" s="40">
        <f>IFERROR(VLOOKUP(A231,Devamsızlıklar!A:M,13,0),1)</f>
        <v>1</v>
      </c>
      <c r="Y231" s="40">
        <f>(OEE!$K$6*VLOOKUP($Y$2,'Kriter Ağırlık'!$A$1:$B$8,2,1))*X231*E231</f>
        <v>35</v>
      </c>
      <c r="Z231" s="40">
        <f>(TELEF!$I$10*VLOOKUP($Z$2,'Kriter Ağırlık'!$A$1:$B$8,2,1))*X231*E231</f>
        <v>15</v>
      </c>
      <c r="AA231" s="40">
        <f t="shared" si="19"/>
        <v>86</v>
      </c>
      <c r="AB231" s="1">
        <v>5</v>
      </c>
      <c r="AC231" s="33">
        <f>VLOOKUP(AB231,'Kriter Ağırlık'!$A$12:$C$17,3,0)</f>
        <v>18.5</v>
      </c>
      <c r="AD231" s="106">
        <v>4</v>
      </c>
      <c r="AE231" s="33">
        <f>VLOOKUP(AD231,'Kriter Ağırlık'!$E$12:$G$24,3,0)</f>
        <v>1.077</v>
      </c>
      <c r="AF231" s="92">
        <f t="shared" si="20"/>
        <v>1713.5069999999998</v>
      </c>
      <c r="AG231" t="str">
        <f>VLOOKUP(A231,'Çalışan Listesi'!A:G,6,0)</f>
        <v>OPERATÖR</v>
      </c>
    </row>
    <row r="232" spans="1:33" x14ac:dyDescent="0.2">
      <c r="A232" s="2">
        <v>4503</v>
      </c>
      <c r="B232" s="3" t="s">
        <v>277</v>
      </c>
      <c r="C232" s="4">
        <v>43584</v>
      </c>
      <c r="D232" s="5">
        <f t="shared" si="21"/>
        <v>90</v>
      </c>
      <c r="E232" s="6">
        <f t="shared" si="18"/>
        <v>1</v>
      </c>
      <c r="F232" s="25" t="s">
        <v>421</v>
      </c>
      <c r="G232" s="3" t="s">
        <v>61</v>
      </c>
      <c r="H232" s="106" t="str">
        <f>VLOOKUP(A232,'Çalışan Listesi'!A:G,7,0)</f>
        <v>2.KADEME</v>
      </c>
      <c r="I232" s="65">
        <f>IFERROR(VLOOKUP(A232,'Kaizen Listesi'!A:H,8,0),0)</f>
        <v>0</v>
      </c>
      <c r="J232" s="65">
        <f>I232*VLOOKUP($I$2,'Kriter Ağırlık'!$A$1:$B$8,2,0)</f>
        <v>0</v>
      </c>
      <c r="K232" s="65">
        <f>IFERROR(VLOOKUP(A232,'Hata Kartı '!A:H,8,0),0)</f>
        <v>16.666666666666668</v>
      </c>
      <c r="L232" s="65">
        <f>K232*(VLOOKUP($K$2,'Kriter Ağırlık'!$A$1:$B$8,2,0))</f>
        <v>1.666666666666667</v>
      </c>
      <c r="M232" s="65">
        <f>IFERROR(VLOOKUP(F232,'5S'!$B$8:$E$19,4,0),0)</f>
        <v>1</v>
      </c>
      <c r="N232" s="65">
        <f>VLOOKUP(M232,'5S'!$G$8:$I$14,3,1)*VLOOKUP($M$2,'Kriter Ağırlık'!$A$1:$B$8,2,0)*E232*X232</f>
        <v>8</v>
      </c>
      <c r="O232" s="1">
        <f>IFERROR(VLOOKUP(A232,Devamsızlıklar!A:K,10,0),0)</f>
        <v>0</v>
      </c>
      <c r="P232" s="40">
        <f>VLOOKUP(O232,Aralıklar!$A$2:$C$5,3,1)*VLOOKUP($O$2,'Kriter Ağırlık'!$A$1:$B$8,2,0)*E232*X232</f>
        <v>10</v>
      </c>
      <c r="Q232" s="1">
        <f>IFERROR(VLOOKUP(A232,Devamsızlıklar!A:K,8,0),0)</f>
        <v>0</v>
      </c>
      <c r="R232" s="33">
        <f>VLOOKUP(Q232,Aralıklar!$E$2:$G$5,3,1)</f>
        <v>1</v>
      </c>
      <c r="S232" s="33">
        <f>IFERROR(VLOOKUP(A232,Devamsızlıklar!A:K,9,0),0)</f>
        <v>0</v>
      </c>
      <c r="T232" s="33">
        <f>VLOOKUP(S232,Aralıklar!$I$2:$K$6,3,1)</f>
        <v>50</v>
      </c>
      <c r="U232" s="33">
        <f>IFERROR(VLOOKUP(A232,Devamsızlıklar!A:K,11,0),0)</f>
        <v>0</v>
      </c>
      <c r="V232" s="33">
        <f>VLOOKUP(U232,Aralıklar!$M$2:$O$6,3,1)</f>
        <v>50</v>
      </c>
      <c r="W232" s="40">
        <f>IF(X232=0,0,(T232+V232)*R232*VLOOKUP($W$2,'Kriter Ağırlık'!$A$1:$B$8,2,1)*E232)</f>
        <v>10</v>
      </c>
      <c r="X232" s="40">
        <f>IFERROR(VLOOKUP(A232,Devamsızlıklar!A:M,13,0),1)</f>
        <v>1</v>
      </c>
      <c r="Y232" s="40">
        <f>(OEE!$K$6*VLOOKUP($Y$2,'Kriter Ağırlık'!$A$1:$B$8,2,1))*X232*E232</f>
        <v>35</v>
      </c>
      <c r="Z232" s="40">
        <f>(TELEF!$I$10*VLOOKUP($Z$2,'Kriter Ağırlık'!$A$1:$B$8,2,1))*X232*E232</f>
        <v>15</v>
      </c>
      <c r="AA232" s="40">
        <f t="shared" si="19"/>
        <v>79.666666666666671</v>
      </c>
      <c r="AB232" s="1">
        <v>5</v>
      </c>
      <c r="AC232" s="33">
        <f>VLOOKUP(AB232,'Kriter Ağırlık'!$A$12:$C$17,3,0)</f>
        <v>18.5</v>
      </c>
      <c r="AD232" s="106">
        <v>4</v>
      </c>
      <c r="AE232" s="33">
        <f>VLOOKUP(AD232,'Kriter Ağırlık'!$E$12:$G$24,3,0)</f>
        <v>1.077</v>
      </c>
      <c r="AF232" s="92">
        <f t="shared" si="20"/>
        <v>1587.3185000000001</v>
      </c>
      <c r="AG232" t="str">
        <f>VLOOKUP(A232,'Çalışan Listesi'!A:G,6,0)</f>
        <v>OPERATÖR</v>
      </c>
    </row>
    <row r="233" spans="1:33" x14ac:dyDescent="0.2">
      <c r="A233" s="2">
        <v>4506</v>
      </c>
      <c r="B233" s="3" t="s">
        <v>278</v>
      </c>
      <c r="C233" s="4">
        <v>43591</v>
      </c>
      <c r="D233" s="5">
        <f t="shared" si="21"/>
        <v>90</v>
      </c>
      <c r="E233" s="6">
        <f t="shared" si="18"/>
        <v>1</v>
      </c>
      <c r="F233" s="25" t="s">
        <v>428</v>
      </c>
      <c r="G233" s="3" t="s">
        <v>190</v>
      </c>
      <c r="H233" s="106" t="str">
        <f>VLOOKUP(A233,'Çalışan Listesi'!A:G,7,0)</f>
        <v>TEMİZLİK</v>
      </c>
      <c r="I233" s="65">
        <f>IFERROR(VLOOKUP(A233,'Kaizen Listesi'!A:H,8,0),0)</f>
        <v>0</v>
      </c>
      <c r="J233" s="65">
        <f>I233*VLOOKUP($I$2,'Kriter Ağırlık'!$A$1:$B$8,2,0)</f>
        <v>0</v>
      </c>
      <c r="K233" s="65">
        <f>IFERROR(VLOOKUP(A233,'Hata Kartı '!A:H,8,0),0)</f>
        <v>0</v>
      </c>
      <c r="L233" s="65">
        <f>K233*(VLOOKUP($K$2,'Kriter Ağırlık'!$A$1:$B$8,2,0))</f>
        <v>0</v>
      </c>
      <c r="M233" s="65">
        <f>IFERROR(VLOOKUP(F233,'5S'!$B$8:$E$19,4,0),0)</f>
        <v>1</v>
      </c>
      <c r="N233" s="65">
        <f>VLOOKUP(M233,'5S'!$G$8:$I$14,3,1)*VLOOKUP($M$2,'Kriter Ağırlık'!$A$1:$B$8,2,0)*E233*X233</f>
        <v>8</v>
      </c>
      <c r="O233" s="1">
        <f>IFERROR(VLOOKUP(A233,Devamsızlıklar!A:K,10,0),0)</f>
        <v>0</v>
      </c>
      <c r="P233" s="40">
        <f>VLOOKUP(O233,Aralıklar!$A$2:$C$5,3,1)*VLOOKUP($O$2,'Kriter Ağırlık'!$A$1:$B$8,2,0)*E233*X233</f>
        <v>10</v>
      </c>
      <c r="Q233" s="1">
        <f>IFERROR(VLOOKUP(A233,Devamsızlıklar!A:K,8,0),0)</f>
        <v>0</v>
      </c>
      <c r="R233" s="33">
        <f>VLOOKUP(Q233,Aralıklar!$E$2:$G$5,3,1)</f>
        <v>1</v>
      </c>
      <c r="S233" s="33">
        <f>IFERROR(VLOOKUP(A233,Devamsızlıklar!A:K,9,0),0)</f>
        <v>0</v>
      </c>
      <c r="T233" s="33">
        <f>VLOOKUP(S233,Aralıklar!$I$2:$K$6,3,1)</f>
        <v>50</v>
      </c>
      <c r="U233" s="33">
        <f>IFERROR(VLOOKUP(A233,Devamsızlıklar!A:K,11,0),0)</f>
        <v>0</v>
      </c>
      <c r="V233" s="33">
        <f>VLOOKUP(U233,Aralıklar!$M$2:$O$6,3,1)</f>
        <v>50</v>
      </c>
      <c r="W233" s="40">
        <f>IF(X233=0,0,(T233+V233)*R233*VLOOKUP($W$2,'Kriter Ağırlık'!$A$1:$B$8,2,1)*E233)</f>
        <v>10</v>
      </c>
      <c r="X233" s="40">
        <f>IFERROR(VLOOKUP(A233,Devamsızlıklar!A:M,13,0),1)</f>
        <v>1</v>
      </c>
      <c r="Y233" s="40">
        <f>(OEE!$K$6*VLOOKUP($Y$2,'Kriter Ağırlık'!$A$1:$B$8,2,1))*X233*E233</f>
        <v>35</v>
      </c>
      <c r="Z233" s="40">
        <f>(TELEF!$I$10*VLOOKUP($Z$2,'Kriter Ağırlık'!$A$1:$B$8,2,1))*X233*E233</f>
        <v>15</v>
      </c>
      <c r="AA233" s="40">
        <f t="shared" si="19"/>
        <v>78</v>
      </c>
      <c r="AB233" s="1">
        <v>5</v>
      </c>
      <c r="AC233" s="33">
        <f>VLOOKUP(AB233,'Kriter Ağırlık'!$A$12:$C$17,3,0)</f>
        <v>18.5</v>
      </c>
      <c r="AD233" s="1">
        <v>5</v>
      </c>
      <c r="AE233" s="33">
        <f>VLOOKUP(AD233,'Kriter Ağırlık'!$E$12:$G$24,3,0)</f>
        <v>1</v>
      </c>
      <c r="AF233" s="92">
        <f t="shared" si="20"/>
        <v>1443</v>
      </c>
      <c r="AG233" t="str">
        <f>VLOOKUP(A233,'Çalışan Listesi'!A:G,6,0)</f>
        <v>OPERATÖR</v>
      </c>
    </row>
    <row r="234" spans="1:33" x14ac:dyDescent="0.2">
      <c r="A234" s="2">
        <v>4508</v>
      </c>
      <c r="B234" s="3" t="s">
        <v>279</v>
      </c>
      <c r="C234" s="4">
        <v>43598</v>
      </c>
      <c r="D234" s="5">
        <f t="shared" si="21"/>
        <v>90</v>
      </c>
      <c r="E234" s="6">
        <f t="shared" si="18"/>
        <v>1</v>
      </c>
      <c r="F234" s="25" t="s">
        <v>421</v>
      </c>
      <c r="G234" s="3" t="s">
        <v>10</v>
      </c>
      <c r="H234" s="106" t="str">
        <f>VLOOKUP(A234,'Çalışan Listesi'!A:G,7,0)</f>
        <v>2.KADEME</v>
      </c>
      <c r="I234" s="65">
        <f>IFERROR(VLOOKUP(A234,'Kaizen Listesi'!A:H,8,0),0)</f>
        <v>66.666666666666671</v>
      </c>
      <c r="J234" s="65">
        <f>I234*VLOOKUP($I$2,'Kriter Ağırlık'!$A$1:$B$8,2,0)</f>
        <v>8</v>
      </c>
      <c r="K234" s="65">
        <f>IFERROR(VLOOKUP(A234,'Hata Kartı '!A:H,8,0),0)</f>
        <v>33.333333333333336</v>
      </c>
      <c r="L234" s="65">
        <f>K234*(VLOOKUP($K$2,'Kriter Ağırlık'!$A$1:$B$8,2,0))</f>
        <v>3.3333333333333339</v>
      </c>
      <c r="M234" s="65">
        <f>IFERROR(VLOOKUP(F234,'5S'!$B$8:$E$19,4,0),0)</f>
        <v>1</v>
      </c>
      <c r="N234" s="65">
        <f>VLOOKUP(M234,'5S'!$G$8:$I$14,3,1)*VLOOKUP($M$2,'Kriter Ağırlık'!$A$1:$B$8,2,0)*E234*X234</f>
        <v>8</v>
      </c>
      <c r="O234" s="1">
        <f>IFERROR(VLOOKUP(A234,Devamsızlıklar!A:K,10,0),0)</f>
        <v>0</v>
      </c>
      <c r="P234" s="40">
        <f>VLOOKUP(O234,Aralıklar!$A$2:$C$5,3,1)*VLOOKUP($O$2,'Kriter Ağırlık'!$A$1:$B$8,2,0)*E234*X234</f>
        <v>10</v>
      </c>
      <c r="Q234" s="1">
        <f>IFERROR(VLOOKUP(A234,Devamsızlıklar!A:K,8,0),0)</f>
        <v>0</v>
      </c>
      <c r="R234" s="33">
        <f>VLOOKUP(Q234,Aralıklar!$E$2:$G$5,3,1)</f>
        <v>1</v>
      </c>
      <c r="S234" s="33">
        <f>IFERROR(VLOOKUP(A234,Devamsızlıklar!A:K,9,0),0)</f>
        <v>0</v>
      </c>
      <c r="T234" s="33">
        <f>VLOOKUP(S234,Aralıklar!$I$2:$K$6,3,1)</f>
        <v>50</v>
      </c>
      <c r="U234" s="33">
        <f>IFERROR(VLOOKUP(A234,Devamsızlıklar!A:K,11,0),0)</f>
        <v>0</v>
      </c>
      <c r="V234" s="33">
        <f>VLOOKUP(U234,Aralıklar!$M$2:$O$6,3,1)</f>
        <v>50</v>
      </c>
      <c r="W234" s="40">
        <f>IF(X234=0,0,(T234+V234)*R234*VLOOKUP($W$2,'Kriter Ağırlık'!$A$1:$B$8,2,1)*E234)</f>
        <v>10</v>
      </c>
      <c r="X234" s="40">
        <f>IFERROR(VLOOKUP(A234,Devamsızlıklar!A:M,13,0),1)</f>
        <v>1</v>
      </c>
      <c r="Y234" s="40">
        <f>(OEE!$K$6*VLOOKUP($Y$2,'Kriter Ağırlık'!$A$1:$B$8,2,1))*X234*E234</f>
        <v>35</v>
      </c>
      <c r="Z234" s="40">
        <f>(TELEF!$I$10*VLOOKUP($Z$2,'Kriter Ağırlık'!$A$1:$B$8,2,1))*X234*E234</f>
        <v>15</v>
      </c>
      <c r="AA234" s="40">
        <f t="shared" si="19"/>
        <v>89.333333333333343</v>
      </c>
      <c r="AB234" s="1">
        <v>5</v>
      </c>
      <c r="AC234" s="33">
        <f>VLOOKUP(AB234,'Kriter Ağırlık'!$A$12:$C$17,3,0)</f>
        <v>18.5</v>
      </c>
      <c r="AD234" s="106">
        <v>4</v>
      </c>
      <c r="AE234" s="33">
        <f>VLOOKUP(AD234,'Kriter Ağırlık'!$E$12:$G$24,3,0)</f>
        <v>1.077</v>
      </c>
      <c r="AF234" s="92">
        <f t="shared" si="20"/>
        <v>1779.922</v>
      </c>
      <c r="AG234" t="str">
        <f>VLOOKUP(A234,'Çalışan Listesi'!A:G,6,0)</f>
        <v>OPERATÖR</v>
      </c>
    </row>
    <row r="235" spans="1:33" x14ac:dyDescent="0.2">
      <c r="A235" s="2">
        <v>4509</v>
      </c>
      <c r="B235" s="3" t="s">
        <v>280</v>
      </c>
      <c r="C235" s="4">
        <v>43598</v>
      </c>
      <c r="D235" s="5">
        <f t="shared" si="21"/>
        <v>90</v>
      </c>
      <c r="E235" s="6">
        <f t="shared" si="18"/>
        <v>1</v>
      </c>
      <c r="F235" s="25" t="s">
        <v>421</v>
      </c>
      <c r="G235" s="3" t="s">
        <v>10</v>
      </c>
      <c r="H235" s="106" t="str">
        <f>VLOOKUP(A235,'Çalışan Listesi'!A:G,7,0)</f>
        <v>2.KADEME</v>
      </c>
      <c r="I235" s="65">
        <f>IFERROR(VLOOKUP(A235,'Kaizen Listesi'!A:H,8,0),0)</f>
        <v>0</v>
      </c>
      <c r="J235" s="65">
        <f>I235*VLOOKUP($I$2,'Kriter Ağırlık'!$A$1:$B$8,2,0)</f>
        <v>0</v>
      </c>
      <c r="K235" s="65">
        <f>IFERROR(VLOOKUP(A235,'Hata Kartı '!A:H,8,0),0)</f>
        <v>16.666666666666668</v>
      </c>
      <c r="L235" s="65">
        <f>K235*(VLOOKUP($K$2,'Kriter Ağırlık'!$A$1:$B$8,2,0))</f>
        <v>1.666666666666667</v>
      </c>
      <c r="M235" s="65">
        <f>IFERROR(VLOOKUP(F235,'5S'!$B$8:$E$19,4,0),0)</f>
        <v>1</v>
      </c>
      <c r="N235" s="65">
        <f>VLOOKUP(M235,'5S'!$G$8:$I$14,3,1)*VLOOKUP($M$2,'Kriter Ağırlık'!$A$1:$B$8,2,0)*E235*X235</f>
        <v>8</v>
      </c>
      <c r="O235" s="1">
        <f>IFERROR(VLOOKUP(A235,Devamsızlıklar!A:K,10,0),0)</f>
        <v>0</v>
      </c>
      <c r="P235" s="40">
        <f>VLOOKUP(O235,Aralıklar!$A$2:$C$5,3,1)*VLOOKUP($O$2,'Kriter Ağırlık'!$A$1:$B$8,2,0)*E235*X235</f>
        <v>10</v>
      </c>
      <c r="Q235" s="1">
        <f>IFERROR(VLOOKUP(A235,Devamsızlıklar!A:K,8,0),0)</f>
        <v>0</v>
      </c>
      <c r="R235" s="33">
        <f>VLOOKUP(Q235,Aralıklar!$E$2:$G$5,3,1)</f>
        <v>1</v>
      </c>
      <c r="S235" s="33">
        <f>IFERROR(VLOOKUP(A235,Devamsızlıklar!A:K,9,0),0)</f>
        <v>0</v>
      </c>
      <c r="T235" s="33">
        <f>VLOOKUP(S235,Aralıklar!$I$2:$K$6,3,1)</f>
        <v>50</v>
      </c>
      <c r="U235" s="33">
        <f>IFERROR(VLOOKUP(A235,Devamsızlıklar!A:K,11,0),0)</f>
        <v>0</v>
      </c>
      <c r="V235" s="33">
        <f>VLOOKUP(U235,Aralıklar!$M$2:$O$6,3,1)</f>
        <v>50</v>
      </c>
      <c r="W235" s="40">
        <f>IF(X235=0,0,(T235+V235)*R235*VLOOKUP($W$2,'Kriter Ağırlık'!$A$1:$B$8,2,1)*E235)</f>
        <v>10</v>
      </c>
      <c r="X235" s="40">
        <f>IFERROR(VLOOKUP(A235,Devamsızlıklar!A:M,13,0),1)</f>
        <v>1</v>
      </c>
      <c r="Y235" s="40">
        <f>(OEE!$K$6*VLOOKUP($Y$2,'Kriter Ağırlık'!$A$1:$B$8,2,1))*X235*E235</f>
        <v>35</v>
      </c>
      <c r="Z235" s="40">
        <f>(TELEF!$I$10*VLOOKUP($Z$2,'Kriter Ağırlık'!$A$1:$B$8,2,1))*X235*E235</f>
        <v>15</v>
      </c>
      <c r="AA235" s="40">
        <f t="shared" si="19"/>
        <v>79.666666666666671</v>
      </c>
      <c r="AB235" s="1">
        <v>5</v>
      </c>
      <c r="AC235" s="33">
        <f>VLOOKUP(AB235,'Kriter Ağırlık'!$A$12:$C$17,3,0)</f>
        <v>18.5</v>
      </c>
      <c r="AD235" s="106">
        <v>4</v>
      </c>
      <c r="AE235" s="33">
        <f>VLOOKUP(AD235,'Kriter Ağırlık'!$E$12:$G$24,3,0)</f>
        <v>1.077</v>
      </c>
      <c r="AF235" s="92">
        <f t="shared" si="20"/>
        <v>1587.3185000000001</v>
      </c>
      <c r="AG235" t="str">
        <f>VLOOKUP(A235,'Çalışan Listesi'!A:G,6,0)</f>
        <v>OPERATÖR</v>
      </c>
    </row>
    <row r="236" spans="1:33" x14ac:dyDescent="0.2">
      <c r="A236" s="2">
        <v>4530</v>
      </c>
      <c r="B236" s="3" t="s">
        <v>281</v>
      </c>
      <c r="C236" s="4">
        <v>43654</v>
      </c>
      <c r="D236" s="5">
        <f t="shared" si="21"/>
        <v>90</v>
      </c>
      <c r="E236" s="6">
        <f t="shared" si="18"/>
        <v>1</v>
      </c>
      <c r="F236" s="25" t="s">
        <v>424</v>
      </c>
      <c r="G236" s="3" t="s">
        <v>143</v>
      </c>
      <c r="H236" s="106" t="str">
        <f>VLOOKUP(A236,'Çalışan Listesi'!A:G,7,0)</f>
        <v>2.KADEME</v>
      </c>
      <c r="I236" s="65">
        <f>IFERROR(VLOOKUP(A236,'Kaizen Listesi'!A:H,8,0),0)</f>
        <v>0</v>
      </c>
      <c r="J236" s="65">
        <f>I236*VLOOKUP($I$2,'Kriter Ağırlık'!$A$1:$B$8,2,0)</f>
        <v>0</v>
      </c>
      <c r="K236" s="65">
        <f>IFERROR(VLOOKUP(A236,'Hata Kartı '!A:H,8,0),0)</f>
        <v>66.666666666666671</v>
      </c>
      <c r="L236" s="65">
        <f>K236*(VLOOKUP($K$2,'Kriter Ağırlık'!$A$1:$B$8,2,0))</f>
        <v>6.6666666666666679</v>
      </c>
      <c r="M236" s="65">
        <f>IFERROR(VLOOKUP(F236,'5S'!$B$8:$E$19,4,0),0)</f>
        <v>1</v>
      </c>
      <c r="N236" s="65">
        <f>VLOOKUP(M236,'5S'!$G$8:$I$14,3,1)*VLOOKUP($M$2,'Kriter Ağırlık'!$A$1:$B$8,2,0)*E236*X236</f>
        <v>8</v>
      </c>
      <c r="O236" s="1">
        <f>IFERROR(VLOOKUP(A236,Devamsızlıklar!A:K,10,0),0)</f>
        <v>0</v>
      </c>
      <c r="P236" s="40">
        <f>VLOOKUP(O236,Aralıklar!$A$2:$C$5,3,1)*VLOOKUP($O$2,'Kriter Ağırlık'!$A$1:$B$8,2,0)*E236*X236</f>
        <v>10</v>
      </c>
      <c r="Q236" s="1">
        <f>IFERROR(VLOOKUP(A236,Devamsızlıklar!A:K,8,0),0)</f>
        <v>0</v>
      </c>
      <c r="R236" s="33">
        <f>VLOOKUP(Q236,Aralıklar!$E$2:$G$5,3,1)</f>
        <v>1</v>
      </c>
      <c r="S236" s="33">
        <f>IFERROR(VLOOKUP(A236,Devamsızlıklar!A:K,9,0),0)</f>
        <v>0</v>
      </c>
      <c r="T236" s="33">
        <f>VLOOKUP(S236,Aralıklar!$I$2:$K$6,3,1)</f>
        <v>50</v>
      </c>
      <c r="U236" s="33">
        <f>IFERROR(VLOOKUP(A236,Devamsızlıklar!A:K,11,0),0)</f>
        <v>0</v>
      </c>
      <c r="V236" s="33">
        <f>VLOOKUP(U236,Aralıklar!$M$2:$O$6,3,1)</f>
        <v>50</v>
      </c>
      <c r="W236" s="40">
        <f>IF(X236=0,0,(T236+V236)*R236*VLOOKUP($W$2,'Kriter Ağırlık'!$A$1:$B$8,2,1)*E236)</f>
        <v>10</v>
      </c>
      <c r="X236" s="40">
        <f>IFERROR(VLOOKUP(A236,Devamsızlıklar!A:M,13,0),1)</f>
        <v>1</v>
      </c>
      <c r="Y236" s="40">
        <f>(OEE!$K$6*VLOOKUP($Y$2,'Kriter Ağırlık'!$A$1:$B$8,2,1))*X236*E236</f>
        <v>35</v>
      </c>
      <c r="Z236" s="40">
        <f>(TELEF!$I$10*VLOOKUP($Z$2,'Kriter Ağırlık'!$A$1:$B$8,2,1))*X236*E236</f>
        <v>15</v>
      </c>
      <c r="AA236" s="40">
        <f t="shared" si="19"/>
        <v>84.666666666666671</v>
      </c>
      <c r="AB236" s="1">
        <v>5</v>
      </c>
      <c r="AC236" s="33">
        <f>VLOOKUP(AB236,'Kriter Ağırlık'!$A$12:$C$17,3,0)</f>
        <v>18.5</v>
      </c>
      <c r="AD236" s="106">
        <v>4</v>
      </c>
      <c r="AE236" s="33">
        <f>VLOOKUP(AD236,'Kriter Ağırlık'!$E$12:$G$24,3,0)</f>
        <v>1.077</v>
      </c>
      <c r="AF236" s="92">
        <f t="shared" si="20"/>
        <v>1686.941</v>
      </c>
      <c r="AG236" t="str">
        <f>VLOOKUP(A236,'Çalışan Listesi'!A:G,6,0)</f>
        <v>OPERATÖR</v>
      </c>
    </row>
    <row r="237" spans="1:33" x14ac:dyDescent="0.2">
      <c r="A237" s="2">
        <v>4548</v>
      </c>
      <c r="B237" s="3" t="s">
        <v>282</v>
      </c>
      <c r="C237" s="4">
        <v>43738</v>
      </c>
      <c r="D237" s="5">
        <f t="shared" si="21"/>
        <v>90</v>
      </c>
      <c r="E237" s="6">
        <f t="shared" si="18"/>
        <v>1</v>
      </c>
      <c r="F237" s="25" t="s">
        <v>425</v>
      </c>
      <c r="G237" s="3" t="s">
        <v>24</v>
      </c>
      <c r="H237" s="106" t="str">
        <f>VLOOKUP(A237,'Çalışan Listesi'!A:G,7,0)</f>
        <v>2.KADEME</v>
      </c>
      <c r="I237" s="65">
        <f>IFERROR(VLOOKUP(A237,'Kaizen Listesi'!A:H,8,0),0)</f>
        <v>0</v>
      </c>
      <c r="J237" s="65">
        <f>I237*VLOOKUP($I$2,'Kriter Ağırlık'!$A$1:$B$8,2,0)</f>
        <v>0</v>
      </c>
      <c r="K237" s="65">
        <f>IFERROR(VLOOKUP(A237,'Hata Kartı '!A:H,8,0),0)</f>
        <v>100</v>
      </c>
      <c r="L237" s="65">
        <f>K237*(VLOOKUP($K$2,'Kriter Ağırlık'!$A$1:$B$8,2,0))</f>
        <v>10</v>
      </c>
      <c r="M237" s="65">
        <f>IFERROR(VLOOKUP(F237,'5S'!$B$8:$E$19,4,0),0)</f>
        <v>1</v>
      </c>
      <c r="N237" s="65">
        <f>VLOOKUP(M237,'5S'!$G$8:$I$14,3,1)*VLOOKUP($M$2,'Kriter Ağırlık'!$A$1:$B$8,2,0)*E237*X237</f>
        <v>8</v>
      </c>
      <c r="O237" s="1">
        <f>IFERROR(VLOOKUP(A237,Devamsızlıklar!A:K,10,0),0)</f>
        <v>0</v>
      </c>
      <c r="P237" s="40">
        <f>VLOOKUP(O237,Aralıklar!$A$2:$C$5,3,1)*VLOOKUP($O$2,'Kriter Ağırlık'!$A$1:$B$8,2,0)*E237*X237</f>
        <v>10</v>
      </c>
      <c r="Q237" s="1">
        <f>IFERROR(VLOOKUP(A237,Devamsızlıklar!A:K,8,0),0)</f>
        <v>0</v>
      </c>
      <c r="R237" s="33">
        <f>VLOOKUP(Q237,Aralıklar!$E$2:$G$5,3,1)</f>
        <v>1</v>
      </c>
      <c r="S237" s="33">
        <f>IFERROR(VLOOKUP(A237,Devamsızlıklar!A:K,9,0),0)</f>
        <v>0</v>
      </c>
      <c r="T237" s="33">
        <f>VLOOKUP(S237,Aralıklar!$I$2:$K$6,3,1)</f>
        <v>50</v>
      </c>
      <c r="U237" s="33">
        <f>IFERROR(VLOOKUP(A237,Devamsızlıklar!A:K,11,0),0)</f>
        <v>0</v>
      </c>
      <c r="V237" s="33">
        <f>VLOOKUP(U237,Aralıklar!$M$2:$O$6,3,1)</f>
        <v>50</v>
      </c>
      <c r="W237" s="40">
        <f>IF(X237=0,0,(T237+V237)*R237*VLOOKUP($W$2,'Kriter Ağırlık'!$A$1:$B$8,2,1)*E237)</f>
        <v>10</v>
      </c>
      <c r="X237" s="40">
        <f>IFERROR(VLOOKUP(A237,Devamsızlıklar!A:M,13,0),1)</f>
        <v>1</v>
      </c>
      <c r="Y237" s="40">
        <f>(OEE!$K$6*VLOOKUP($Y$2,'Kriter Ağırlık'!$A$1:$B$8,2,1))*X237*E237</f>
        <v>35</v>
      </c>
      <c r="Z237" s="40">
        <f>(TELEF!$I$10*VLOOKUP($Z$2,'Kriter Ağırlık'!$A$1:$B$8,2,1))*X237*E237</f>
        <v>15</v>
      </c>
      <c r="AA237" s="40">
        <f t="shared" si="19"/>
        <v>88</v>
      </c>
      <c r="AB237" s="1">
        <v>5</v>
      </c>
      <c r="AC237" s="33">
        <f>VLOOKUP(AB237,'Kriter Ağırlık'!$A$12:$C$17,3,0)</f>
        <v>18.5</v>
      </c>
      <c r="AD237" s="1">
        <v>11</v>
      </c>
      <c r="AE237" s="33">
        <f>VLOOKUP(AD237,'Kriter Ağırlık'!$E$12:$G$24,3,0)</f>
        <v>1.157</v>
      </c>
      <c r="AF237" s="92">
        <f t="shared" si="20"/>
        <v>1883.596</v>
      </c>
      <c r="AG237" t="str">
        <f>VLOOKUP(A237,'Çalışan Listesi'!A:G,6,0)</f>
        <v>TEKNİSYEN</v>
      </c>
    </row>
    <row r="238" spans="1:33" x14ac:dyDescent="0.2">
      <c r="A238" s="2">
        <v>4567</v>
      </c>
      <c r="B238" s="3" t="s">
        <v>283</v>
      </c>
      <c r="C238" s="4">
        <v>43768</v>
      </c>
      <c r="D238" s="5">
        <f t="shared" si="21"/>
        <v>90</v>
      </c>
      <c r="E238" s="6">
        <f t="shared" si="18"/>
        <v>1</v>
      </c>
      <c r="F238" s="25" t="s">
        <v>421</v>
      </c>
      <c r="G238" s="3" t="s">
        <v>10</v>
      </c>
      <c r="H238" s="106" t="str">
        <f>VLOOKUP(A238,'Çalışan Listesi'!A:G,7,0)</f>
        <v>2.KADEME</v>
      </c>
      <c r="I238" s="65">
        <f>IFERROR(VLOOKUP(A238,'Kaizen Listesi'!A:H,8,0),0)</f>
        <v>0</v>
      </c>
      <c r="J238" s="65">
        <f>I238*VLOOKUP($I$2,'Kriter Ağırlık'!$A$1:$B$8,2,0)</f>
        <v>0</v>
      </c>
      <c r="K238" s="65">
        <f>IFERROR(VLOOKUP(A238,'Hata Kartı '!A:H,8,0),0)</f>
        <v>0</v>
      </c>
      <c r="L238" s="65">
        <f>K238*(VLOOKUP($K$2,'Kriter Ağırlık'!$A$1:$B$8,2,0))</f>
        <v>0</v>
      </c>
      <c r="M238" s="65">
        <f>IFERROR(VLOOKUP(F238,'5S'!$B$8:$E$19,4,0),0)</f>
        <v>1</v>
      </c>
      <c r="N238" s="65">
        <f>VLOOKUP(M238,'5S'!$G$8:$I$14,3,1)*VLOOKUP($M$2,'Kriter Ağırlık'!$A$1:$B$8,2,0)*E238*X238</f>
        <v>8</v>
      </c>
      <c r="O238" s="1">
        <f>IFERROR(VLOOKUP(A238,Devamsızlıklar!A:K,10,0),0)</f>
        <v>0</v>
      </c>
      <c r="P238" s="40">
        <f>VLOOKUP(O238,Aralıklar!$A$2:$C$5,3,1)*VLOOKUP($O$2,'Kriter Ağırlık'!$A$1:$B$8,2,0)*E238*X238</f>
        <v>10</v>
      </c>
      <c r="Q238" s="1">
        <f>IFERROR(VLOOKUP(A238,Devamsızlıklar!A:K,8,0),0)</f>
        <v>0</v>
      </c>
      <c r="R238" s="33">
        <f>VLOOKUP(Q238,Aralıklar!$E$2:$G$5,3,1)</f>
        <v>1</v>
      </c>
      <c r="S238" s="33">
        <f>IFERROR(VLOOKUP(A238,Devamsızlıklar!A:K,9,0),0)</f>
        <v>0</v>
      </c>
      <c r="T238" s="33">
        <f>VLOOKUP(S238,Aralıklar!$I$2:$K$6,3,1)</f>
        <v>50</v>
      </c>
      <c r="U238" s="33">
        <f>IFERROR(VLOOKUP(A238,Devamsızlıklar!A:K,11,0),0)</f>
        <v>0</v>
      </c>
      <c r="V238" s="33">
        <f>VLOOKUP(U238,Aralıklar!$M$2:$O$6,3,1)</f>
        <v>50</v>
      </c>
      <c r="W238" s="40">
        <f>IF(X238=0,0,(T238+V238)*R238*VLOOKUP($W$2,'Kriter Ağırlık'!$A$1:$B$8,2,1)*E238)</f>
        <v>10</v>
      </c>
      <c r="X238" s="40">
        <f>IFERROR(VLOOKUP(A238,Devamsızlıklar!A:M,13,0),1)</f>
        <v>1</v>
      </c>
      <c r="Y238" s="40">
        <f>(OEE!$K$6*VLOOKUP($Y$2,'Kriter Ağırlık'!$A$1:$B$8,2,1))*X238*E238</f>
        <v>35</v>
      </c>
      <c r="Z238" s="40">
        <f>(TELEF!$I$10*VLOOKUP($Z$2,'Kriter Ağırlık'!$A$1:$B$8,2,1))*X238*E238</f>
        <v>15</v>
      </c>
      <c r="AA238" s="40">
        <f t="shared" si="19"/>
        <v>78</v>
      </c>
      <c r="AB238" s="1">
        <v>5</v>
      </c>
      <c r="AC238" s="33">
        <f>VLOOKUP(AB238,'Kriter Ağırlık'!$A$12:$C$17,3,0)</f>
        <v>18.5</v>
      </c>
      <c r="AD238" s="106">
        <v>4</v>
      </c>
      <c r="AE238" s="33">
        <f>VLOOKUP(AD238,'Kriter Ağırlık'!$E$12:$G$24,3,0)</f>
        <v>1.077</v>
      </c>
      <c r="AF238" s="92">
        <f t="shared" si="20"/>
        <v>1554.1109999999999</v>
      </c>
      <c r="AG238" t="str">
        <f>VLOOKUP(A238,'Çalışan Listesi'!A:G,6,0)</f>
        <v>OPERATÖR</v>
      </c>
    </row>
    <row r="239" spans="1:33" x14ac:dyDescent="0.2">
      <c r="A239" s="2">
        <v>4713</v>
      </c>
      <c r="B239" s="3" t="s">
        <v>284</v>
      </c>
      <c r="C239" s="4">
        <v>43864</v>
      </c>
      <c r="D239" s="5">
        <f t="shared" si="21"/>
        <v>90</v>
      </c>
      <c r="E239" s="6">
        <f t="shared" si="18"/>
        <v>1</v>
      </c>
      <c r="F239" s="25" t="s">
        <v>421</v>
      </c>
      <c r="G239" s="3" t="s">
        <v>10</v>
      </c>
      <c r="H239" s="106" t="str">
        <f>VLOOKUP(A239,'Çalışan Listesi'!A:G,7,0)</f>
        <v>2.KADEME</v>
      </c>
      <c r="I239" s="65">
        <f>IFERROR(VLOOKUP(A239,'Kaizen Listesi'!A:H,8,0),0)</f>
        <v>0</v>
      </c>
      <c r="J239" s="65">
        <f>I239*VLOOKUP($I$2,'Kriter Ağırlık'!$A$1:$B$8,2,0)</f>
        <v>0</v>
      </c>
      <c r="K239" s="65">
        <f>IFERROR(VLOOKUP(A239,'Hata Kartı '!A:H,8,0),0)</f>
        <v>0</v>
      </c>
      <c r="L239" s="65">
        <f>K239*(VLOOKUP($K$2,'Kriter Ağırlık'!$A$1:$B$8,2,0))</f>
        <v>0</v>
      </c>
      <c r="M239" s="65">
        <f>IFERROR(VLOOKUP(F239,'5S'!$B$8:$E$19,4,0),0)</f>
        <v>1</v>
      </c>
      <c r="N239" s="65">
        <f>VLOOKUP(M239,'5S'!$G$8:$I$14,3,1)*VLOOKUP($M$2,'Kriter Ağırlık'!$A$1:$B$8,2,0)*E239*X239</f>
        <v>8</v>
      </c>
      <c r="O239" s="1">
        <f>IFERROR(VLOOKUP(A239,Devamsızlıklar!A:K,10,0),0)</f>
        <v>0</v>
      </c>
      <c r="P239" s="40">
        <f>VLOOKUP(O239,Aralıklar!$A$2:$C$5,3,1)*VLOOKUP($O$2,'Kriter Ağırlık'!$A$1:$B$8,2,0)*E239*X239</f>
        <v>10</v>
      </c>
      <c r="Q239" s="1">
        <f>IFERROR(VLOOKUP(A239,Devamsızlıklar!A:K,8,0),0)</f>
        <v>0</v>
      </c>
      <c r="R239" s="33">
        <f>VLOOKUP(Q239,Aralıklar!$E$2:$G$5,3,1)</f>
        <v>1</v>
      </c>
      <c r="S239" s="33">
        <f>IFERROR(VLOOKUP(A239,Devamsızlıklar!A:K,9,0),0)</f>
        <v>0</v>
      </c>
      <c r="T239" s="33">
        <f>VLOOKUP(S239,Aralıklar!$I$2:$K$6,3,1)</f>
        <v>50</v>
      </c>
      <c r="U239" s="33">
        <f>IFERROR(VLOOKUP(A239,Devamsızlıklar!A:K,11,0),0)</f>
        <v>0</v>
      </c>
      <c r="V239" s="33">
        <f>VLOOKUP(U239,Aralıklar!$M$2:$O$6,3,1)</f>
        <v>50</v>
      </c>
      <c r="W239" s="40">
        <f>IF(X239=0,0,(T239+V239)*R239*VLOOKUP($W$2,'Kriter Ağırlık'!$A$1:$B$8,2,1)*E239)</f>
        <v>10</v>
      </c>
      <c r="X239" s="40">
        <f>IFERROR(VLOOKUP(A239,Devamsızlıklar!A:M,13,0),1)</f>
        <v>1</v>
      </c>
      <c r="Y239" s="40">
        <f>(OEE!$K$6*VLOOKUP($Y$2,'Kriter Ağırlık'!$A$1:$B$8,2,1))*X239*E239</f>
        <v>35</v>
      </c>
      <c r="Z239" s="40">
        <f>(TELEF!$I$10*VLOOKUP($Z$2,'Kriter Ağırlık'!$A$1:$B$8,2,1))*X239*E239</f>
        <v>15</v>
      </c>
      <c r="AA239" s="40">
        <f t="shared" si="19"/>
        <v>78</v>
      </c>
      <c r="AB239" s="1">
        <v>5</v>
      </c>
      <c r="AC239" s="33">
        <f>VLOOKUP(AB239,'Kriter Ağırlık'!$A$12:$C$17,3,0)</f>
        <v>18.5</v>
      </c>
      <c r="AD239" s="106">
        <v>4</v>
      </c>
      <c r="AE239" s="33">
        <f>VLOOKUP(AD239,'Kriter Ağırlık'!$E$12:$G$24,3,0)</f>
        <v>1.077</v>
      </c>
      <c r="AF239" s="92">
        <f t="shared" si="20"/>
        <v>1554.1109999999999</v>
      </c>
      <c r="AG239" t="str">
        <f>VLOOKUP(A239,'Çalışan Listesi'!A:G,6,0)</f>
        <v>OPERATÖR</v>
      </c>
    </row>
    <row r="240" spans="1:33" x14ac:dyDescent="0.2">
      <c r="A240" s="2">
        <v>4726</v>
      </c>
      <c r="B240" s="3" t="s">
        <v>285</v>
      </c>
      <c r="C240" s="4">
        <v>43878</v>
      </c>
      <c r="D240" s="5">
        <f t="shared" si="21"/>
        <v>90</v>
      </c>
      <c r="E240" s="6">
        <f t="shared" si="18"/>
        <v>1</v>
      </c>
      <c r="F240" s="25" t="s">
        <v>422</v>
      </c>
      <c r="G240" s="3" t="s">
        <v>54</v>
      </c>
      <c r="H240" s="106" t="str">
        <f>VLOOKUP(A240,'Çalışan Listesi'!A:G,7,0)</f>
        <v>2.KADEME</v>
      </c>
      <c r="I240" s="65">
        <f>IFERROR(VLOOKUP(A240,'Kaizen Listesi'!A:H,8,0),0)</f>
        <v>0</v>
      </c>
      <c r="J240" s="65">
        <f>I240*VLOOKUP($I$2,'Kriter Ağırlık'!$A$1:$B$8,2,0)</f>
        <v>0</v>
      </c>
      <c r="K240" s="65">
        <f>IFERROR(VLOOKUP(A240,'Hata Kartı '!A:H,8,0),0)</f>
        <v>0</v>
      </c>
      <c r="L240" s="65">
        <f>K240*(VLOOKUP($K$2,'Kriter Ağırlık'!$A$1:$B$8,2,0))</f>
        <v>0</v>
      </c>
      <c r="M240" s="65">
        <f>IFERROR(VLOOKUP(F240,'5S'!$B$8:$E$19,4,0),0)</f>
        <v>1</v>
      </c>
      <c r="N240" s="65">
        <f>VLOOKUP(M240,'5S'!$G$8:$I$14,3,1)*VLOOKUP($M$2,'Kriter Ağırlık'!$A$1:$B$8,2,0)*E240*X240</f>
        <v>8</v>
      </c>
      <c r="O240" s="1">
        <f>IFERROR(VLOOKUP(A240,Devamsızlıklar!A:K,10,0),0)</f>
        <v>0</v>
      </c>
      <c r="P240" s="40">
        <f>VLOOKUP(O240,Aralıklar!$A$2:$C$5,3,1)*VLOOKUP($O$2,'Kriter Ağırlık'!$A$1:$B$8,2,0)*E240*X240</f>
        <v>10</v>
      </c>
      <c r="Q240" s="1">
        <f>IFERROR(VLOOKUP(A240,Devamsızlıklar!A:K,8,0),0)</f>
        <v>0</v>
      </c>
      <c r="R240" s="33">
        <f>VLOOKUP(Q240,Aralıklar!$E$2:$G$5,3,1)</f>
        <v>1</v>
      </c>
      <c r="S240" s="33">
        <f>IFERROR(VLOOKUP(A240,Devamsızlıklar!A:K,9,0),0)</f>
        <v>0</v>
      </c>
      <c r="T240" s="33">
        <f>VLOOKUP(S240,Aralıklar!$I$2:$K$6,3,1)</f>
        <v>50</v>
      </c>
      <c r="U240" s="33">
        <f>IFERROR(VLOOKUP(A240,Devamsızlıklar!A:K,11,0),0)</f>
        <v>0</v>
      </c>
      <c r="V240" s="33">
        <f>VLOOKUP(U240,Aralıklar!$M$2:$O$6,3,1)</f>
        <v>50</v>
      </c>
      <c r="W240" s="40">
        <f>IF(X240=0,0,(T240+V240)*R240*VLOOKUP($W$2,'Kriter Ağırlık'!$A$1:$B$8,2,1)*E240)</f>
        <v>10</v>
      </c>
      <c r="X240" s="40">
        <f>IFERROR(VLOOKUP(A240,Devamsızlıklar!A:M,13,0),1)</f>
        <v>1</v>
      </c>
      <c r="Y240" s="40">
        <f>(OEE!$K$6*VLOOKUP($Y$2,'Kriter Ağırlık'!$A$1:$B$8,2,1))*X240*E240</f>
        <v>35</v>
      </c>
      <c r="Z240" s="40">
        <f>(TELEF!$I$10*VLOOKUP($Z$2,'Kriter Ağırlık'!$A$1:$B$8,2,1))*X240*E240</f>
        <v>15</v>
      </c>
      <c r="AA240" s="40">
        <f t="shared" si="19"/>
        <v>78</v>
      </c>
      <c r="AB240" s="1">
        <v>5</v>
      </c>
      <c r="AC240" s="33">
        <f>VLOOKUP(AB240,'Kriter Ağırlık'!$A$12:$C$17,3,0)</f>
        <v>18.5</v>
      </c>
      <c r="AD240" s="106">
        <v>4</v>
      </c>
      <c r="AE240" s="33">
        <f>VLOOKUP(AD240,'Kriter Ağırlık'!$E$12:$G$24,3,0)</f>
        <v>1.077</v>
      </c>
      <c r="AF240" s="92">
        <f t="shared" si="20"/>
        <v>1554.1109999999999</v>
      </c>
      <c r="AG240" t="str">
        <f>VLOOKUP(A240,'Çalışan Listesi'!A:G,6,0)</f>
        <v>OPERATÖR</v>
      </c>
    </row>
    <row r="241" spans="1:33" x14ac:dyDescent="0.2">
      <c r="A241" s="2">
        <v>4753</v>
      </c>
      <c r="B241" s="3" t="s">
        <v>286</v>
      </c>
      <c r="C241" s="4">
        <v>43906</v>
      </c>
      <c r="D241" s="5">
        <f t="shared" si="21"/>
        <v>90</v>
      </c>
      <c r="E241" s="6">
        <f t="shared" si="18"/>
        <v>1</v>
      </c>
      <c r="F241" s="25" t="s">
        <v>429</v>
      </c>
      <c r="G241" s="3" t="s">
        <v>46</v>
      </c>
      <c r="H241" s="106" t="str">
        <f>VLOOKUP(A241,'Çalışan Listesi'!A:G,7,0)</f>
        <v>2.KADEME</v>
      </c>
      <c r="I241" s="65">
        <f>IFERROR(VLOOKUP(A241,'Kaizen Listesi'!A:H,8,0),0)</f>
        <v>0</v>
      </c>
      <c r="J241" s="65">
        <f>I241*VLOOKUP($I$2,'Kriter Ağırlık'!$A$1:$B$8,2,0)</f>
        <v>0</v>
      </c>
      <c r="K241" s="65">
        <f>IFERROR(VLOOKUP(A241,'Hata Kartı '!A:H,8,0),0)</f>
        <v>0</v>
      </c>
      <c r="L241" s="65">
        <f>K241*(VLOOKUP($K$2,'Kriter Ağırlık'!$A$1:$B$8,2,0))</f>
        <v>0</v>
      </c>
      <c r="M241" s="65">
        <f>IFERROR(VLOOKUP(F241,'5S'!$B$8:$E$19,4,0),0)</f>
        <v>1</v>
      </c>
      <c r="N241" s="65">
        <f>VLOOKUP(M241,'5S'!$G$8:$I$14,3,1)*VLOOKUP($M$2,'Kriter Ağırlık'!$A$1:$B$8,2,0)*E241*X241</f>
        <v>8</v>
      </c>
      <c r="O241" s="1">
        <f>IFERROR(VLOOKUP(A241,Devamsızlıklar!A:K,10,0),0)</f>
        <v>0</v>
      </c>
      <c r="P241" s="40">
        <f>VLOOKUP(O241,Aralıklar!$A$2:$C$5,3,1)*VLOOKUP($O$2,'Kriter Ağırlık'!$A$1:$B$8,2,0)*E241*X241</f>
        <v>10</v>
      </c>
      <c r="Q241" s="1">
        <f>IFERROR(VLOOKUP(A241,Devamsızlıklar!A:K,8,0),0)</f>
        <v>0</v>
      </c>
      <c r="R241" s="33">
        <f>VLOOKUP(Q241,Aralıklar!$E$2:$G$5,3,1)</f>
        <v>1</v>
      </c>
      <c r="S241" s="33">
        <f>IFERROR(VLOOKUP(A241,Devamsızlıklar!A:K,9,0),0)</f>
        <v>0</v>
      </c>
      <c r="T241" s="33">
        <f>VLOOKUP(S241,Aralıklar!$I$2:$K$6,3,1)</f>
        <v>50</v>
      </c>
      <c r="U241" s="33">
        <f>IFERROR(VLOOKUP(A241,Devamsızlıklar!A:K,11,0),0)</f>
        <v>0</v>
      </c>
      <c r="V241" s="33">
        <f>VLOOKUP(U241,Aralıklar!$M$2:$O$6,3,1)</f>
        <v>50</v>
      </c>
      <c r="W241" s="40">
        <f>IF(X241=0,0,(T241+V241)*R241*VLOOKUP($W$2,'Kriter Ağırlık'!$A$1:$B$8,2,1)*E241)</f>
        <v>10</v>
      </c>
      <c r="X241" s="40">
        <f>IFERROR(VLOOKUP(A241,Devamsızlıklar!A:M,13,0),1)</f>
        <v>1</v>
      </c>
      <c r="Y241" s="40">
        <f>(OEE!$K$6*VLOOKUP($Y$2,'Kriter Ağırlık'!$A$1:$B$8,2,1))*X241*E241</f>
        <v>35</v>
      </c>
      <c r="Z241" s="40">
        <f>(TELEF!$I$10*VLOOKUP($Z$2,'Kriter Ağırlık'!$A$1:$B$8,2,1))*X241*E241</f>
        <v>15</v>
      </c>
      <c r="AA241" s="40">
        <f t="shared" si="19"/>
        <v>78</v>
      </c>
      <c r="AB241" s="1">
        <v>5</v>
      </c>
      <c r="AC241" s="33">
        <f>VLOOKUP(AB241,'Kriter Ağırlık'!$A$12:$C$17,3,0)</f>
        <v>18.5</v>
      </c>
      <c r="AD241" s="106">
        <v>4</v>
      </c>
      <c r="AE241" s="33">
        <f>VLOOKUP(AD241,'Kriter Ağırlık'!$E$12:$G$24,3,0)</f>
        <v>1.077</v>
      </c>
      <c r="AF241" s="92">
        <f t="shared" si="20"/>
        <v>1554.1109999999999</v>
      </c>
      <c r="AG241" t="str">
        <f>VLOOKUP(A241,'Çalışan Listesi'!A:G,6,0)</f>
        <v>OPERATÖR</v>
      </c>
    </row>
    <row r="242" spans="1:33" x14ac:dyDescent="0.2">
      <c r="A242" s="2">
        <v>4754</v>
      </c>
      <c r="B242" s="3" t="s">
        <v>287</v>
      </c>
      <c r="C242" s="4">
        <v>43906</v>
      </c>
      <c r="D242" s="5">
        <f t="shared" si="21"/>
        <v>90</v>
      </c>
      <c r="E242" s="6">
        <f t="shared" si="18"/>
        <v>1</v>
      </c>
      <c r="F242" s="25" t="s">
        <v>429</v>
      </c>
      <c r="G242" s="3" t="s">
        <v>46</v>
      </c>
      <c r="H242" s="106" t="str">
        <f>VLOOKUP(A242,'Çalışan Listesi'!A:G,7,0)</f>
        <v>2.KADEME</v>
      </c>
      <c r="I242" s="65">
        <f>IFERROR(VLOOKUP(A242,'Kaizen Listesi'!A:H,8,0),0)</f>
        <v>0</v>
      </c>
      <c r="J242" s="65">
        <f>I242*VLOOKUP($I$2,'Kriter Ağırlık'!$A$1:$B$8,2,0)</f>
        <v>0</v>
      </c>
      <c r="K242" s="65">
        <f>IFERROR(VLOOKUP(A242,'Hata Kartı '!A:H,8,0),0)</f>
        <v>0</v>
      </c>
      <c r="L242" s="65">
        <f>K242*(VLOOKUP($K$2,'Kriter Ağırlık'!$A$1:$B$8,2,0))</f>
        <v>0</v>
      </c>
      <c r="M242" s="65">
        <f>IFERROR(VLOOKUP(F242,'5S'!$B$8:$E$19,4,0),0)</f>
        <v>1</v>
      </c>
      <c r="N242" s="65">
        <f>VLOOKUP(M242,'5S'!$G$8:$I$14,3,1)*VLOOKUP($M$2,'Kriter Ağırlık'!$A$1:$B$8,2,0)*E242*X242</f>
        <v>8</v>
      </c>
      <c r="O242" s="1">
        <f>IFERROR(VLOOKUP(A242,Devamsızlıklar!A:K,10,0),0)</f>
        <v>0</v>
      </c>
      <c r="P242" s="40">
        <f>VLOOKUP(O242,Aralıklar!$A$2:$C$5,3,1)*VLOOKUP($O$2,'Kriter Ağırlık'!$A$1:$B$8,2,0)*E242*X242</f>
        <v>10</v>
      </c>
      <c r="Q242" s="1">
        <f>IFERROR(VLOOKUP(A242,Devamsızlıklar!A:K,8,0),0)</f>
        <v>0</v>
      </c>
      <c r="R242" s="33">
        <f>VLOOKUP(Q242,Aralıklar!$E$2:$G$5,3,1)</f>
        <v>1</v>
      </c>
      <c r="S242" s="33">
        <f>IFERROR(VLOOKUP(A242,Devamsızlıklar!A:K,9,0),0)</f>
        <v>0</v>
      </c>
      <c r="T242" s="33">
        <f>VLOOKUP(S242,Aralıklar!$I$2:$K$6,3,1)</f>
        <v>50</v>
      </c>
      <c r="U242" s="33">
        <f>IFERROR(VLOOKUP(A242,Devamsızlıklar!A:K,11,0),0)</f>
        <v>0</v>
      </c>
      <c r="V242" s="33">
        <f>VLOOKUP(U242,Aralıklar!$M$2:$O$6,3,1)</f>
        <v>50</v>
      </c>
      <c r="W242" s="40">
        <f>IF(X242=0,0,(T242+V242)*R242*VLOOKUP($W$2,'Kriter Ağırlık'!$A$1:$B$8,2,1)*E242)</f>
        <v>10</v>
      </c>
      <c r="X242" s="40">
        <f>IFERROR(VLOOKUP(A242,Devamsızlıklar!A:M,13,0),1)</f>
        <v>1</v>
      </c>
      <c r="Y242" s="40">
        <f>(OEE!$K$6*VLOOKUP($Y$2,'Kriter Ağırlık'!$A$1:$B$8,2,1))*X242*E242</f>
        <v>35</v>
      </c>
      <c r="Z242" s="40">
        <f>(TELEF!$I$10*VLOOKUP($Z$2,'Kriter Ağırlık'!$A$1:$B$8,2,1))*X242*E242</f>
        <v>15</v>
      </c>
      <c r="AA242" s="40">
        <f t="shared" si="19"/>
        <v>78</v>
      </c>
      <c r="AB242" s="1">
        <v>5</v>
      </c>
      <c r="AC242" s="33">
        <f>VLOOKUP(AB242,'Kriter Ağırlık'!$A$12:$C$17,3,0)</f>
        <v>18.5</v>
      </c>
      <c r="AD242" s="1">
        <v>4</v>
      </c>
      <c r="AE242" s="33">
        <f>VLOOKUP(AD242,'Kriter Ağırlık'!$E$12:$G$24,3,0)</f>
        <v>1.077</v>
      </c>
      <c r="AF242" s="92">
        <f t="shared" si="20"/>
        <v>1554.1109999999999</v>
      </c>
      <c r="AG242" t="str">
        <f>VLOOKUP(A242,'Çalışan Listesi'!A:G,6,0)</f>
        <v>OPERATÖR</v>
      </c>
    </row>
    <row r="243" spans="1:33" x14ac:dyDescent="0.2">
      <c r="A243" s="2">
        <v>4755</v>
      </c>
      <c r="B243" s="3" t="s">
        <v>288</v>
      </c>
      <c r="C243" s="4">
        <v>43906</v>
      </c>
      <c r="D243" s="5">
        <f t="shared" si="21"/>
        <v>90</v>
      </c>
      <c r="E243" s="6">
        <f t="shared" si="18"/>
        <v>1</v>
      </c>
      <c r="F243" s="25" t="s">
        <v>428</v>
      </c>
      <c r="G243" s="3" t="s">
        <v>289</v>
      </c>
      <c r="H243" s="106" t="str">
        <f>VLOOKUP(A243,'Çalışan Listesi'!A:G,7,0)</f>
        <v>TEMİZLİK</v>
      </c>
      <c r="I243" s="65">
        <f>IFERROR(VLOOKUP(A243,'Kaizen Listesi'!A:H,8,0),0)</f>
        <v>0</v>
      </c>
      <c r="J243" s="65">
        <f>I243*VLOOKUP($I$2,'Kriter Ağırlık'!$A$1:$B$8,2,0)</f>
        <v>0</v>
      </c>
      <c r="K243" s="65">
        <f>IFERROR(VLOOKUP(A243,'Hata Kartı '!A:H,8,0),0)</f>
        <v>0</v>
      </c>
      <c r="L243" s="65">
        <f>K243*(VLOOKUP($K$2,'Kriter Ağırlık'!$A$1:$B$8,2,0))</f>
        <v>0</v>
      </c>
      <c r="M243" s="65">
        <f>IFERROR(VLOOKUP(F243,'5S'!$B$8:$E$19,4,0),0)</f>
        <v>1</v>
      </c>
      <c r="N243" s="65">
        <f>VLOOKUP(M243,'5S'!$G$8:$I$14,3,1)*VLOOKUP($M$2,'Kriter Ağırlık'!$A$1:$B$8,2,0)*E243*X243</f>
        <v>8</v>
      </c>
      <c r="O243" s="1">
        <f>IFERROR(VLOOKUP(A243,Devamsızlıklar!A:K,10,0),0)</f>
        <v>0</v>
      </c>
      <c r="P243" s="40">
        <f>VLOOKUP(O243,Aralıklar!$A$2:$C$5,3,1)*VLOOKUP($O$2,'Kriter Ağırlık'!$A$1:$B$8,2,0)*E243*X243</f>
        <v>10</v>
      </c>
      <c r="Q243" s="1">
        <f>IFERROR(VLOOKUP(A243,Devamsızlıklar!A:K,8,0),0)</f>
        <v>0</v>
      </c>
      <c r="R243" s="33">
        <f>VLOOKUP(Q243,Aralıklar!$E$2:$G$5,3,1)</f>
        <v>1</v>
      </c>
      <c r="S243" s="33">
        <f>IFERROR(VLOOKUP(A243,Devamsızlıklar!A:K,9,0),0)</f>
        <v>0</v>
      </c>
      <c r="T243" s="33">
        <f>VLOOKUP(S243,Aralıklar!$I$2:$K$6,3,1)</f>
        <v>50</v>
      </c>
      <c r="U243" s="33">
        <f>IFERROR(VLOOKUP(A243,Devamsızlıklar!A:K,11,0),0)</f>
        <v>0</v>
      </c>
      <c r="V243" s="33">
        <f>VLOOKUP(U243,Aralıklar!$M$2:$O$6,3,1)</f>
        <v>50</v>
      </c>
      <c r="W243" s="40">
        <f>IF(X243=0,0,(T243+V243)*R243*VLOOKUP($W$2,'Kriter Ağırlık'!$A$1:$B$8,2,1)*E243)</f>
        <v>10</v>
      </c>
      <c r="X243" s="40">
        <f>IFERROR(VLOOKUP(A243,Devamsızlıklar!A:M,13,0),1)</f>
        <v>1</v>
      </c>
      <c r="Y243" s="40">
        <f>(OEE!$K$6*VLOOKUP($Y$2,'Kriter Ağırlık'!$A$1:$B$8,2,1))*X243*E243</f>
        <v>35</v>
      </c>
      <c r="Z243" s="40">
        <f>(TELEF!$I$10*VLOOKUP($Z$2,'Kriter Ağırlık'!$A$1:$B$8,2,1))*X243*E243</f>
        <v>15</v>
      </c>
      <c r="AA243" s="40">
        <f t="shared" si="19"/>
        <v>78</v>
      </c>
      <c r="AB243" s="1">
        <v>5</v>
      </c>
      <c r="AC243" s="33">
        <f>VLOOKUP(AB243,'Kriter Ağırlık'!$A$12:$C$17,3,0)</f>
        <v>18.5</v>
      </c>
      <c r="AD243" s="76">
        <v>5</v>
      </c>
      <c r="AE243" s="33">
        <f>VLOOKUP(AD243,'Kriter Ağırlık'!$E$12:$G$24,3,0)</f>
        <v>1</v>
      </c>
      <c r="AF243" s="92">
        <f t="shared" si="20"/>
        <v>1443</v>
      </c>
      <c r="AG243" t="str">
        <f>VLOOKUP(A243,'Çalışan Listesi'!A:G,6,0)</f>
        <v>OPERATÖR</v>
      </c>
    </row>
    <row r="244" spans="1:33" x14ac:dyDescent="0.2">
      <c r="A244" s="2">
        <v>4805</v>
      </c>
      <c r="B244" s="3" t="s">
        <v>290</v>
      </c>
      <c r="C244" s="4">
        <v>44053</v>
      </c>
      <c r="D244" s="5">
        <f t="shared" si="21"/>
        <v>90</v>
      </c>
      <c r="E244" s="6">
        <f t="shared" si="18"/>
        <v>1</v>
      </c>
      <c r="F244" s="25" t="s">
        <v>425</v>
      </c>
      <c r="G244" s="3" t="s">
        <v>24</v>
      </c>
      <c r="H244" s="106" t="str">
        <f>VLOOKUP(A244,'Çalışan Listesi'!A:G,7,0)</f>
        <v>1.KADEME</v>
      </c>
      <c r="I244" s="65">
        <f>IFERROR(VLOOKUP(A244,'Kaizen Listesi'!A:H,8,0),0)</f>
        <v>0</v>
      </c>
      <c r="J244" s="65">
        <f>I244*VLOOKUP($I$2,'Kriter Ağırlık'!$A$1:$B$8,2,0)</f>
        <v>0</v>
      </c>
      <c r="K244" s="65">
        <f>IFERROR(VLOOKUP(A244,'Hata Kartı '!A:H,8,0),0)</f>
        <v>0</v>
      </c>
      <c r="L244" s="65">
        <f>K244*(VLOOKUP($K$2,'Kriter Ağırlık'!$A$1:$B$8,2,0))</f>
        <v>0</v>
      </c>
      <c r="M244" s="65">
        <f>IFERROR(VLOOKUP(F244,'5S'!$B$8:$E$19,4,0),0)</f>
        <v>1</v>
      </c>
      <c r="N244" s="65">
        <f>VLOOKUP(M244,'5S'!$G$8:$I$14,3,1)*VLOOKUP($M$2,'Kriter Ağırlık'!$A$1:$B$8,2,0)*E244*X244</f>
        <v>7.2888888888888888</v>
      </c>
      <c r="O244" s="1">
        <f>IFERROR(VLOOKUP(A244,Devamsızlıklar!A:K,10,0),0)</f>
        <v>0</v>
      </c>
      <c r="P244" s="40">
        <f>VLOOKUP(O244,Aralıklar!$A$2:$C$5,3,1)*VLOOKUP($O$2,'Kriter Ağırlık'!$A$1:$B$8,2,0)*E244*X244</f>
        <v>9.1111111111111107</v>
      </c>
      <c r="Q244" s="1">
        <f>IFERROR(VLOOKUP(A244,Devamsızlıklar!A:K,8,0),0)</f>
        <v>0</v>
      </c>
      <c r="R244" s="33">
        <f>VLOOKUP(Q244,Aralıklar!$E$2:$G$5,3,1)</f>
        <v>1</v>
      </c>
      <c r="S244" s="33">
        <f>IFERROR(VLOOKUP(A244,Devamsızlıklar!A:K,9,0),0)</f>
        <v>2</v>
      </c>
      <c r="T244" s="33">
        <f>VLOOKUP(S244,Aralıklar!$I$2:$K$6,3,1)</f>
        <v>50</v>
      </c>
      <c r="U244" s="33">
        <f>IFERROR(VLOOKUP(A244,Devamsızlıklar!A:K,11,0),0)</f>
        <v>0</v>
      </c>
      <c r="V244" s="33">
        <f>VLOOKUP(U244,Aralıklar!$M$2:$O$6,3,1)</f>
        <v>50</v>
      </c>
      <c r="W244" s="40">
        <f>IF(X244=0,0,(T244+V244)*R244*VLOOKUP($W$2,'Kriter Ağırlık'!$A$1:$B$8,2,1)*E244)</f>
        <v>10</v>
      </c>
      <c r="X244" s="40">
        <f>IFERROR(VLOOKUP(A244,Devamsızlıklar!A:M,13,0),1)</f>
        <v>0.91111111111111109</v>
      </c>
      <c r="Y244" s="40">
        <f>(OEE!$K$6*VLOOKUP($Y$2,'Kriter Ağırlık'!$A$1:$B$8,2,1))*X244*E244</f>
        <v>31.888888888888889</v>
      </c>
      <c r="Z244" s="40">
        <f>(TELEF!$I$10*VLOOKUP($Z$2,'Kriter Ağırlık'!$A$1:$B$8,2,1))*X244*E244</f>
        <v>13.666666666666666</v>
      </c>
      <c r="AA244" s="40">
        <f t="shared" si="19"/>
        <v>71.955555555555563</v>
      </c>
      <c r="AB244" s="1">
        <v>5</v>
      </c>
      <c r="AC244" s="33">
        <f>VLOOKUP(AB244,'Kriter Ağırlık'!$A$12:$C$17,3,0)</f>
        <v>18.5</v>
      </c>
      <c r="AD244" s="1">
        <v>12</v>
      </c>
      <c r="AE244" s="33">
        <f>VLOOKUP(AD244,'Kriter Ağırlık'!$E$12:$G$24,3,0)</f>
        <v>1</v>
      </c>
      <c r="AF244" s="92">
        <f t="shared" si="20"/>
        <v>1331.1777777777779</v>
      </c>
      <c r="AG244" t="str">
        <f>VLOOKUP(A244,'Çalışan Listesi'!A:G,6,0)</f>
        <v>TEKNİSYEN</v>
      </c>
    </row>
    <row r="245" spans="1:33" x14ac:dyDescent="0.2">
      <c r="A245" s="2">
        <v>4806</v>
      </c>
      <c r="B245" s="3" t="s">
        <v>291</v>
      </c>
      <c r="C245" s="4">
        <v>44053</v>
      </c>
      <c r="D245" s="5">
        <f t="shared" si="21"/>
        <v>90</v>
      </c>
      <c r="E245" s="6">
        <f t="shared" si="18"/>
        <v>1</v>
      </c>
      <c r="F245" s="25" t="s">
        <v>425</v>
      </c>
      <c r="G245" s="3" t="s">
        <v>12</v>
      </c>
      <c r="H245" s="106" t="str">
        <f>VLOOKUP(A245,'Çalışan Listesi'!A:G,7,0)</f>
        <v>2.KADEME</v>
      </c>
      <c r="I245" s="65">
        <f>IFERROR(VLOOKUP(A245,'Kaizen Listesi'!A:H,8,0),0)</f>
        <v>0</v>
      </c>
      <c r="J245" s="65">
        <f>I245*VLOOKUP($I$2,'Kriter Ağırlık'!$A$1:$B$8,2,0)</f>
        <v>0</v>
      </c>
      <c r="K245" s="65">
        <f>IFERROR(VLOOKUP(A245,'Hata Kartı '!A:H,8,0),0)</f>
        <v>83.333333333333329</v>
      </c>
      <c r="L245" s="65">
        <f>K245*(VLOOKUP($K$2,'Kriter Ağırlık'!$A$1:$B$8,2,0))</f>
        <v>8.3333333333333339</v>
      </c>
      <c r="M245" s="65">
        <f>IFERROR(VLOOKUP(F245,'5S'!$B$8:$E$19,4,0),0)</f>
        <v>1</v>
      </c>
      <c r="N245" s="65">
        <f>VLOOKUP(M245,'5S'!$G$8:$I$14,3,1)*VLOOKUP($M$2,'Kriter Ağırlık'!$A$1:$B$8,2,0)*E245*X245</f>
        <v>8</v>
      </c>
      <c r="O245" s="1">
        <f>IFERROR(VLOOKUP(A245,Devamsızlıklar!A:K,10,0),0)</f>
        <v>0</v>
      </c>
      <c r="P245" s="40">
        <f>VLOOKUP(O245,Aralıklar!$A$2:$C$5,3,1)*VLOOKUP($O$2,'Kriter Ağırlık'!$A$1:$B$8,2,0)*E245*X245</f>
        <v>10</v>
      </c>
      <c r="Q245" s="1">
        <f>IFERROR(VLOOKUP(A245,Devamsızlıklar!A:K,8,0),0)</f>
        <v>0</v>
      </c>
      <c r="R245" s="33">
        <f>VLOOKUP(Q245,Aralıklar!$E$2:$G$5,3,1)</f>
        <v>1</v>
      </c>
      <c r="S245" s="33">
        <f>IFERROR(VLOOKUP(A245,Devamsızlıklar!A:K,9,0),0)</f>
        <v>0</v>
      </c>
      <c r="T245" s="33">
        <f>VLOOKUP(S245,Aralıklar!$I$2:$K$6,3,1)</f>
        <v>50</v>
      </c>
      <c r="U245" s="33">
        <f>IFERROR(VLOOKUP(A245,Devamsızlıklar!A:K,11,0),0)</f>
        <v>0</v>
      </c>
      <c r="V245" s="33">
        <f>VLOOKUP(U245,Aralıklar!$M$2:$O$6,3,1)</f>
        <v>50</v>
      </c>
      <c r="W245" s="40">
        <f>IF(X245=0,0,(T245+V245)*R245*VLOOKUP($W$2,'Kriter Ağırlık'!$A$1:$B$8,2,1)*E245)</f>
        <v>10</v>
      </c>
      <c r="X245" s="40">
        <f>IFERROR(VLOOKUP(A245,Devamsızlıklar!A:M,13,0),1)</f>
        <v>1</v>
      </c>
      <c r="Y245" s="40">
        <f>(OEE!$K$6*VLOOKUP($Y$2,'Kriter Ağırlık'!$A$1:$B$8,2,1))*X245*E245</f>
        <v>35</v>
      </c>
      <c r="Z245" s="40">
        <f>(TELEF!$I$10*VLOOKUP($Z$2,'Kriter Ağırlık'!$A$1:$B$8,2,1))*X245*E245</f>
        <v>15</v>
      </c>
      <c r="AA245" s="40">
        <f t="shared" si="19"/>
        <v>86.333333333333343</v>
      </c>
      <c r="AB245" s="1">
        <v>4</v>
      </c>
      <c r="AC245" s="33">
        <f>VLOOKUP(AB245,'Kriter Ağırlık'!$A$12:$C$17,3,0)</f>
        <v>13.5</v>
      </c>
      <c r="AD245" s="1">
        <v>1</v>
      </c>
      <c r="AE245" s="33">
        <f>VLOOKUP(AD245,'Kriter Ağırlık'!$E$12:$G$24,3,0)</f>
        <v>1</v>
      </c>
      <c r="AF245" s="92">
        <f t="shared" si="20"/>
        <v>1165.5000000000002</v>
      </c>
      <c r="AG245" t="str">
        <f>VLOOKUP(A245,'Çalışan Listesi'!A:G,6,0)</f>
        <v>TAKIM LİDERİ YARDIMCISI</v>
      </c>
    </row>
    <row r="246" spans="1:33" x14ac:dyDescent="0.2">
      <c r="A246" s="2">
        <v>5022</v>
      </c>
      <c r="B246" s="3" t="s">
        <v>292</v>
      </c>
      <c r="C246" s="4">
        <v>44298</v>
      </c>
      <c r="D246" s="5">
        <f t="shared" si="21"/>
        <v>90</v>
      </c>
      <c r="E246" s="6">
        <f t="shared" si="18"/>
        <v>1</v>
      </c>
      <c r="F246" s="25" t="s">
        <v>421</v>
      </c>
      <c r="G246" s="3" t="s">
        <v>10</v>
      </c>
      <c r="H246" s="106" t="str">
        <f>VLOOKUP(A246,'Çalışan Listesi'!A:G,7,0)</f>
        <v>1.KADEME</v>
      </c>
      <c r="I246" s="65">
        <f>IFERROR(VLOOKUP(A246,'Kaizen Listesi'!A:H,8,0),0)</f>
        <v>0</v>
      </c>
      <c r="J246" s="65">
        <f>I246*VLOOKUP($I$2,'Kriter Ağırlık'!$A$1:$B$8,2,0)</f>
        <v>0</v>
      </c>
      <c r="K246" s="65">
        <f>IFERROR(VLOOKUP(A246,'Hata Kartı '!A:H,8,0),0)</f>
        <v>33.333333333333336</v>
      </c>
      <c r="L246" s="65">
        <f>K246*(VLOOKUP($K$2,'Kriter Ağırlık'!$A$1:$B$8,2,0))</f>
        <v>3.3333333333333339</v>
      </c>
      <c r="M246" s="65">
        <f>IFERROR(VLOOKUP(F246,'5S'!$B$8:$E$19,4,0),0)</f>
        <v>1</v>
      </c>
      <c r="N246" s="65">
        <f>VLOOKUP(M246,'5S'!$G$8:$I$14,3,1)*VLOOKUP($M$2,'Kriter Ağırlık'!$A$1:$B$8,2,0)*E246*X246</f>
        <v>8</v>
      </c>
      <c r="O246" s="1">
        <f>IFERROR(VLOOKUP(A246,Devamsızlıklar!A:K,10,0),0)</f>
        <v>0</v>
      </c>
      <c r="P246" s="40">
        <f>VLOOKUP(O246,Aralıklar!$A$2:$C$5,3,1)*VLOOKUP($O$2,'Kriter Ağırlık'!$A$1:$B$8,2,0)*E246*X246</f>
        <v>10</v>
      </c>
      <c r="Q246" s="1">
        <f>IFERROR(VLOOKUP(A246,Devamsızlıklar!A:K,8,0),0)</f>
        <v>0</v>
      </c>
      <c r="R246" s="33">
        <f>VLOOKUP(Q246,Aralıklar!$E$2:$G$5,3,1)</f>
        <v>1</v>
      </c>
      <c r="S246" s="33">
        <f>IFERROR(VLOOKUP(A246,Devamsızlıklar!A:K,9,0),0)</f>
        <v>0</v>
      </c>
      <c r="T246" s="33">
        <f>VLOOKUP(S246,Aralıklar!$I$2:$K$6,3,1)</f>
        <v>50</v>
      </c>
      <c r="U246" s="33">
        <f>IFERROR(VLOOKUP(A246,Devamsızlıklar!A:K,11,0),0)</f>
        <v>0</v>
      </c>
      <c r="V246" s="33">
        <f>VLOOKUP(U246,Aralıklar!$M$2:$O$6,3,1)</f>
        <v>50</v>
      </c>
      <c r="W246" s="40">
        <f>IF(X246=0,0,(T246+V246)*R246*VLOOKUP($W$2,'Kriter Ağırlık'!$A$1:$B$8,2,1)*E246)</f>
        <v>10</v>
      </c>
      <c r="X246" s="40">
        <f>IFERROR(VLOOKUP(A246,Devamsızlıklar!A:M,13,0),1)</f>
        <v>1</v>
      </c>
      <c r="Y246" s="40">
        <f>(OEE!$K$6*VLOOKUP($Y$2,'Kriter Ağırlık'!$A$1:$B$8,2,1))*X246*E246</f>
        <v>35</v>
      </c>
      <c r="Z246" s="40">
        <f>(TELEF!$I$10*VLOOKUP($Z$2,'Kriter Ağırlık'!$A$1:$B$8,2,1))*X246*E246</f>
        <v>15</v>
      </c>
      <c r="AA246" s="40">
        <f t="shared" si="19"/>
        <v>81.333333333333343</v>
      </c>
      <c r="AB246" s="1">
        <v>5</v>
      </c>
      <c r="AC246" s="33">
        <f>VLOOKUP(AB246,'Kriter Ağırlık'!$A$12:$C$17,3,0)</f>
        <v>18.5</v>
      </c>
      <c r="AD246" s="1">
        <v>5</v>
      </c>
      <c r="AE246" s="33">
        <f>VLOOKUP(AD246,'Kriter Ağırlık'!$E$12:$G$24,3,0)</f>
        <v>1</v>
      </c>
      <c r="AF246" s="92">
        <f t="shared" si="20"/>
        <v>1504.6666666666667</v>
      </c>
      <c r="AG246" t="str">
        <f>VLOOKUP(A246,'Çalışan Listesi'!A:G,6,0)</f>
        <v>OPERATÖR</v>
      </c>
    </row>
    <row r="247" spans="1:33" x14ac:dyDescent="0.2">
      <c r="A247" s="2">
        <v>5033</v>
      </c>
      <c r="B247" s="3" t="s">
        <v>293</v>
      </c>
      <c r="C247" s="4">
        <v>44319</v>
      </c>
      <c r="D247" s="5">
        <f t="shared" si="21"/>
        <v>90</v>
      </c>
      <c r="E247" s="6">
        <f t="shared" si="18"/>
        <v>1</v>
      </c>
      <c r="F247" s="25" t="s">
        <v>426</v>
      </c>
      <c r="G247" s="3" t="s">
        <v>158</v>
      </c>
      <c r="H247" s="106" t="str">
        <f>VLOOKUP(A247,'Çalışan Listesi'!A:G,7,0)</f>
        <v>1.KADEME</v>
      </c>
      <c r="I247" s="65">
        <f>IFERROR(VLOOKUP(A247,'Kaizen Listesi'!A:H,8,0),0)</f>
        <v>0</v>
      </c>
      <c r="J247" s="65">
        <f>I247*VLOOKUP($I$2,'Kriter Ağırlık'!$A$1:$B$8,2,0)</f>
        <v>0</v>
      </c>
      <c r="K247" s="65">
        <f>IFERROR(VLOOKUP(A247,'Hata Kartı '!A:H,8,0),0)</f>
        <v>33.333333333333336</v>
      </c>
      <c r="L247" s="65">
        <f>K247*(VLOOKUP($K$2,'Kriter Ağırlık'!$A$1:$B$8,2,0))</f>
        <v>3.3333333333333339</v>
      </c>
      <c r="M247" s="65">
        <f>IFERROR(VLOOKUP(F247,'5S'!$B$8:$E$19,4,0),0)</f>
        <v>1</v>
      </c>
      <c r="N247" s="65">
        <f>VLOOKUP(M247,'5S'!$G$8:$I$14,3,1)*VLOOKUP($M$2,'Kriter Ağırlık'!$A$1:$B$8,2,0)*E247*X247</f>
        <v>8</v>
      </c>
      <c r="O247" s="1">
        <f>IFERROR(VLOOKUP(A247,Devamsızlıklar!A:K,10,0),0)</f>
        <v>0</v>
      </c>
      <c r="P247" s="40">
        <f>VLOOKUP(O247,Aralıklar!$A$2:$C$5,3,1)*VLOOKUP($O$2,'Kriter Ağırlık'!$A$1:$B$8,2,0)*E247*X247</f>
        <v>10</v>
      </c>
      <c r="Q247" s="1">
        <f>IFERROR(VLOOKUP(A247,Devamsızlıklar!A:K,8,0),0)</f>
        <v>0</v>
      </c>
      <c r="R247" s="33">
        <f>VLOOKUP(Q247,Aralıklar!$E$2:$G$5,3,1)</f>
        <v>1</v>
      </c>
      <c r="S247" s="33">
        <f>IFERROR(VLOOKUP(A247,Devamsızlıklar!A:K,9,0),0)</f>
        <v>0</v>
      </c>
      <c r="T247" s="33">
        <f>VLOOKUP(S247,Aralıklar!$I$2:$K$6,3,1)</f>
        <v>50</v>
      </c>
      <c r="U247" s="33">
        <f>IFERROR(VLOOKUP(A247,Devamsızlıklar!A:K,11,0),0)</f>
        <v>0</v>
      </c>
      <c r="V247" s="33">
        <f>VLOOKUP(U247,Aralıklar!$M$2:$O$6,3,1)</f>
        <v>50</v>
      </c>
      <c r="W247" s="40">
        <f>IF(X247=0,0,(T247+V247)*R247*VLOOKUP($W$2,'Kriter Ağırlık'!$A$1:$B$8,2,1)*E247)</f>
        <v>10</v>
      </c>
      <c r="X247" s="40">
        <f>IFERROR(VLOOKUP(A247,Devamsızlıklar!A:M,13,0),1)</f>
        <v>1</v>
      </c>
      <c r="Y247" s="40">
        <f>(OEE!$K$6*VLOOKUP($Y$2,'Kriter Ağırlık'!$A$1:$B$8,2,1))*X247*E247</f>
        <v>35</v>
      </c>
      <c r="Z247" s="40">
        <f>(TELEF!$I$10*VLOOKUP($Z$2,'Kriter Ağırlık'!$A$1:$B$8,2,1))*X247*E247</f>
        <v>15</v>
      </c>
      <c r="AA247" s="40">
        <f t="shared" si="19"/>
        <v>81.333333333333343</v>
      </c>
      <c r="AB247" s="1">
        <v>5</v>
      </c>
      <c r="AC247" s="33">
        <f>VLOOKUP(AB247,'Kriter Ağırlık'!$A$12:$C$17,3,0)</f>
        <v>18.5</v>
      </c>
      <c r="AD247" s="1">
        <v>5</v>
      </c>
      <c r="AE247" s="33">
        <f>VLOOKUP(AD247,'Kriter Ağırlık'!$E$12:$G$24,3,0)</f>
        <v>1</v>
      </c>
      <c r="AF247" s="92">
        <f t="shared" si="20"/>
        <v>1504.6666666666667</v>
      </c>
      <c r="AG247" t="str">
        <f>VLOOKUP(A247,'Çalışan Listesi'!A:G,6,0)</f>
        <v>OPERATÖR</v>
      </c>
    </row>
    <row r="248" spans="1:33" x14ac:dyDescent="0.2">
      <c r="A248" s="2">
        <v>5039</v>
      </c>
      <c r="B248" s="3" t="s">
        <v>294</v>
      </c>
      <c r="C248" s="4">
        <v>44340</v>
      </c>
      <c r="D248" s="5">
        <f t="shared" si="21"/>
        <v>90</v>
      </c>
      <c r="E248" s="6">
        <f t="shared" si="18"/>
        <v>1</v>
      </c>
      <c r="F248" s="25" t="s">
        <v>421</v>
      </c>
      <c r="G248" s="3" t="s">
        <v>86</v>
      </c>
      <c r="H248" s="106" t="str">
        <f>VLOOKUP(A248,'Çalışan Listesi'!A:G,7,0)</f>
        <v>1.KADEME</v>
      </c>
      <c r="I248" s="65">
        <f>IFERROR(VLOOKUP(A248,'Kaizen Listesi'!A:H,8,0),0)</f>
        <v>66.666666666666671</v>
      </c>
      <c r="J248" s="65">
        <f>I248*VLOOKUP($I$2,'Kriter Ağırlık'!$A$1:$B$8,2,0)</f>
        <v>8</v>
      </c>
      <c r="K248" s="65">
        <f>IFERROR(VLOOKUP(A248,'Hata Kartı '!A:H,8,0),0)</f>
        <v>0</v>
      </c>
      <c r="L248" s="65">
        <f>K248*(VLOOKUP($K$2,'Kriter Ağırlık'!$A$1:$B$8,2,0))</f>
        <v>0</v>
      </c>
      <c r="M248" s="65">
        <f>IFERROR(VLOOKUP(F248,'5S'!$B$8:$E$19,4,0),0)</f>
        <v>1</v>
      </c>
      <c r="N248" s="65">
        <f>VLOOKUP(M248,'5S'!$G$8:$I$14,3,1)*VLOOKUP($M$2,'Kriter Ağırlık'!$A$1:$B$8,2,0)*E248*X248</f>
        <v>6.3111111111111109</v>
      </c>
      <c r="O248" s="1">
        <f>IFERROR(VLOOKUP(A248,Devamsızlıklar!A:K,10,0),0)</f>
        <v>0</v>
      </c>
      <c r="P248" s="40">
        <f>VLOOKUP(O248,Aralıklar!$A$2:$C$5,3,1)*VLOOKUP($O$2,'Kriter Ağırlık'!$A$1:$B$8,2,0)*E248*X248</f>
        <v>7.8888888888888884</v>
      </c>
      <c r="Q248" s="1">
        <f>IFERROR(VLOOKUP(A248,Devamsızlıklar!A:K,8,0),0)</f>
        <v>0</v>
      </c>
      <c r="R248" s="33">
        <f>VLOOKUP(Q248,Aralıklar!$E$2:$G$5,3,1)</f>
        <v>1</v>
      </c>
      <c r="S248" s="33">
        <f>IFERROR(VLOOKUP(A248,Devamsızlıklar!A:K,9,0),0)</f>
        <v>11</v>
      </c>
      <c r="T248" s="33">
        <f>VLOOKUP(S248,Aralıklar!$I$2:$K$6,3,1)</f>
        <v>0</v>
      </c>
      <c r="U248" s="33">
        <f>IFERROR(VLOOKUP(A248,Devamsızlıklar!A:K,11,0),0)</f>
        <v>1</v>
      </c>
      <c r="V248" s="33">
        <f>VLOOKUP(U248,Aralıklar!$M$2:$O$6,3,1)</f>
        <v>50</v>
      </c>
      <c r="W248" s="40">
        <f>IF(X248=0,0,(T248+V248)*R248*VLOOKUP($W$2,'Kriter Ağırlık'!$A$1:$B$8,2,1)*E248)</f>
        <v>5</v>
      </c>
      <c r="X248" s="40">
        <f>IFERROR(VLOOKUP(A248,Devamsızlıklar!A:M,13,0),1)</f>
        <v>0.78888888888888886</v>
      </c>
      <c r="Y248" s="40">
        <f>(OEE!$K$6*VLOOKUP($Y$2,'Kriter Ağırlık'!$A$1:$B$8,2,1))*X248*E248</f>
        <v>27.611111111111111</v>
      </c>
      <c r="Z248" s="40">
        <f>(TELEF!$I$10*VLOOKUP($Z$2,'Kriter Ağırlık'!$A$1:$B$8,2,1))*X248*E248</f>
        <v>11.833333333333332</v>
      </c>
      <c r="AA248" s="40">
        <f t="shared" si="19"/>
        <v>66.644444444444446</v>
      </c>
      <c r="AB248" s="1">
        <v>5</v>
      </c>
      <c r="AC248" s="33">
        <f>VLOOKUP(AB248,'Kriter Ağırlık'!$A$12:$C$17,3,0)</f>
        <v>18.5</v>
      </c>
      <c r="AD248" s="1">
        <v>5</v>
      </c>
      <c r="AE248" s="33">
        <f>VLOOKUP(AD248,'Kriter Ağırlık'!$E$12:$G$24,3,0)</f>
        <v>1</v>
      </c>
      <c r="AF248" s="92">
        <f t="shared" si="20"/>
        <v>1232.9222222222222</v>
      </c>
      <c r="AG248" t="str">
        <f>VLOOKUP(A248,'Çalışan Listesi'!A:G,6,0)</f>
        <v>OPERATÖR</v>
      </c>
    </row>
    <row r="249" spans="1:33" x14ac:dyDescent="0.2">
      <c r="A249" s="2">
        <v>5041</v>
      </c>
      <c r="B249" s="3" t="s">
        <v>295</v>
      </c>
      <c r="C249" s="4">
        <v>44340</v>
      </c>
      <c r="D249" s="5">
        <f t="shared" si="21"/>
        <v>90</v>
      </c>
      <c r="E249" s="6">
        <f t="shared" si="18"/>
        <v>1</v>
      </c>
      <c r="F249" s="25" t="s">
        <v>421</v>
      </c>
      <c r="G249" s="3" t="s">
        <v>61</v>
      </c>
      <c r="H249" s="106" t="str">
        <f>VLOOKUP(A249,'Çalışan Listesi'!A:G,7,0)</f>
        <v>1.KADEME</v>
      </c>
      <c r="I249" s="65">
        <f>IFERROR(VLOOKUP(A249,'Kaizen Listesi'!A:H,8,0),0)</f>
        <v>0</v>
      </c>
      <c r="J249" s="65">
        <f>I249*VLOOKUP($I$2,'Kriter Ağırlık'!$A$1:$B$8,2,0)</f>
        <v>0</v>
      </c>
      <c r="K249" s="65">
        <f>IFERROR(VLOOKUP(A249,'Hata Kartı '!A:H,8,0),0)</f>
        <v>33.333333333333336</v>
      </c>
      <c r="L249" s="65">
        <f>K249*(VLOOKUP($K$2,'Kriter Ağırlık'!$A$1:$B$8,2,0))</f>
        <v>3.3333333333333339</v>
      </c>
      <c r="M249" s="65">
        <f>IFERROR(VLOOKUP(F249,'5S'!$B$8:$E$19,4,0),0)</f>
        <v>1</v>
      </c>
      <c r="N249" s="65">
        <f>VLOOKUP(M249,'5S'!$G$8:$I$14,3,1)*VLOOKUP($M$2,'Kriter Ağırlık'!$A$1:$B$8,2,0)*E249*X249</f>
        <v>7.7333333333333334</v>
      </c>
      <c r="O249" s="1">
        <f>IFERROR(VLOOKUP(A249,Devamsızlıklar!A:K,10,0),0)</f>
        <v>0</v>
      </c>
      <c r="P249" s="40">
        <f>VLOOKUP(O249,Aralıklar!$A$2:$C$5,3,1)*VLOOKUP($O$2,'Kriter Ağırlık'!$A$1:$B$8,2,0)*E249*X249</f>
        <v>9.6666666666666661</v>
      </c>
      <c r="Q249" s="1">
        <f>IFERROR(VLOOKUP(A249,Devamsızlıklar!A:K,8,0),0)</f>
        <v>0</v>
      </c>
      <c r="R249" s="33">
        <f>VLOOKUP(Q249,Aralıklar!$E$2:$G$5,3,1)</f>
        <v>1</v>
      </c>
      <c r="S249" s="33">
        <f>IFERROR(VLOOKUP(A249,Devamsızlıklar!A:K,9,0),0)</f>
        <v>3</v>
      </c>
      <c r="T249" s="33">
        <f>VLOOKUP(S249,Aralıklar!$I$2:$K$6,3,1)</f>
        <v>50</v>
      </c>
      <c r="U249" s="33">
        <f>IFERROR(VLOOKUP(A249,Devamsızlıklar!A:K,11,0),0)</f>
        <v>0</v>
      </c>
      <c r="V249" s="33">
        <f>VLOOKUP(U249,Aralıklar!$M$2:$O$6,3,1)</f>
        <v>50</v>
      </c>
      <c r="W249" s="40">
        <f>IF(X249=0,0,(T249+V249)*R249*VLOOKUP($W$2,'Kriter Ağırlık'!$A$1:$B$8,2,1)*E249)</f>
        <v>10</v>
      </c>
      <c r="X249" s="40">
        <f>IFERROR(VLOOKUP(A249,Devamsızlıklar!A:M,13,0),1)</f>
        <v>0.96666666666666667</v>
      </c>
      <c r="Y249" s="40">
        <f>(OEE!$K$6*VLOOKUP($Y$2,'Kriter Ağırlık'!$A$1:$B$8,2,1))*X249*E249</f>
        <v>33.833333333333336</v>
      </c>
      <c r="Z249" s="40">
        <f>(TELEF!$I$10*VLOOKUP($Z$2,'Kriter Ağırlık'!$A$1:$B$8,2,1))*X249*E249</f>
        <v>14.5</v>
      </c>
      <c r="AA249" s="40">
        <f t="shared" si="19"/>
        <v>79.066666666666663</v>
      </c>
      <c r="AB249" s="1">
        <v>5</v>
      </c>
      <c r="AC249" s="33">
        <f>VLOOKUP(AB249,'Kriter Ağırlık'!$A$12:$C$17,3,0)</f>
        <v>18.5</v>
      </c>
      <c r="AD249" s="1">
        <v>5</v>
      </c>
      <c r="AE249" s="33">
        <f>VLOOKUP(AD249,'Kriter Ağırlık'!$E$12:$G$24,3,0)</f>
        <v>1</v>
      </c>
      <c r="AF249" s="92">
        <f t="shared" si="20"/>
        <v>1462.7333333333333</v>
      </c>
      <c r="AG249" t="str">
        <f>VLOOKUP(A249,'Çalışan Listesi'!A:G,6,0)</f>
        <v>OPERATÖR</v>
      </c>
    </row>
    <row r="250" spans="1:33" x14ac:dyDescent="0.2">
      <c r="A250" s="2">
        <v>5045</v>
      </c>
      <c r="B250" s="3" t="s">
        <v>296</v>
      </c>
      <c r="C250" s="4">
        <v>44348</v>
      </c>
      <c r="D250" s="5">
        <f t="shared" si="21"/>
        <v>90</v>
      </c>
      <c r="E250" s="6">
        <f t="shared" si="18"/>
        <v>1</v>
      </c>
      <c r="F250" s="25" t="s">
        <v>422</v>
      </c>
      <c r="G250" s="3" t="s">
        <v>54</v>
      </c>
      <c r="H250" s="106" t="str">
        <f>VLOOKUP(A250,'Çalışan Listesi'!A:G,7,0)</f>
        <v>1.KADEME</v>
      </c>
      <c r="I250" s="65">
        <f>IFERROR(VLOOKUP(A250,'Kaizen Listesi'!A:H,8,0),0)</f>
        <v>0</v>
      </c>
      <c r="J250" s="65">
        <f>I250*VLOOKUP($I$2,'Kriter Ağırlık'!$A$1:$B$8,2,0)</f>
        <v>0</v>
      </c>
      <c r="K250" s="65">
        <f>IFERROR(VLOOKUP(A250,'Hata Kartı '!A:H,8,0),0)</f>
        <v>0</v>
      </c>
      <c r="L250" s="65">
        <f>K250*(VLOOKUP($K$2,'Kriter Ağırlık'!$A$1:$B$8,2,0))</f>
        <v>0</v>
      </c>
      <c r="M250" s="65">
        <f>IFERROR(VLOOKUP(F250,'5S'!$B$8:$E$19,4,0),0)</f>
        <v>1</v>
      </c>
      <c r="N250" s="65">
        <f>VLOOKUP(M250,'5S'!$G$8:$I$14,3,1)*VLOOKUP($M$2,'Kriter Ağırlık'!$A$1:$B$8,2,0)*E250*X250</f>
        <v>7.3777777777777782</v>
      </c>
      <c r="O250" s="1">
        <f>IFERROR(VLOOKUP(A250,Devamsızlıklar!A:K,10,0),0)</f>
        <v>0</v>
      </c>
      <c r="P250" s="40">
        <f>VLOOKUP(O250,Aralıklar!$A$2:$C$5,3,1)*VLOOKUP($O$2,'Kriter Ağırlık'!$A$1:$B$8,2,0)*E250*X250</f>
        <v>9.2222222222222232</v>
      </c>
      <c r="Q250" s="1">
        <f>IFERROR(VLOOKUP(A250,Devamsızlıklar!A:K,8,0),0)</f>
        <v>0</v>
      </c>
      <c r="R250" s="33">
        <f>VLOOKUP(Q250,Aralıklar!$E$2:$G$5,3,1)</f>
        <v>1</v>
      </c>
      <c r="S250" s="33">
        <f>IFERROR(VLOOKUP(A250,Devamsızlıklar!A:K,9,0),0)</f>
        <v>0</v>
      </c>
      <c r="T250" s="33">
        <f>VLOOKUP(S250,Aralıklar!$I$2:$K$6,3,1)</f>
        <v>50</v>
      </c>
      <c r="U250" s="33">
        <f>IFERROR(VLOOKUP(A250,Devamsızlıklar!A:K,11,0),0)</f>
        <v>0</v>
      </c>
      <c r="V250" s="33">
        <f>VLOOKUP(U250,Aralıklar!$M$2:$O$6,3,1)</f>
        <v>50</v>
      </c>
      <c r="W250" s="40">
        <f>IF(X250=0,0,(T250+V250)*R250*VLOOKUP($W$2,'Kriter Ağırlık'!$A$1:$B$8,2,1)*E250)</f>
        <v>10</v>
      </c>
      <c r="X250" s="40">
        <f>IFERROR(VLOOKUP(A250,Devamsızlıklar!A:M,13,0),1)</f>
        <v>0.92222222222222228</v>
      </c>
      <c r="Y250" s="40">
        <f>(OEE!$K$6*VLOOKUP($Y$2,'Kriter Ağırlık'!$A$1:$B$8,2,1))*X250*E250</f>
        <v>32.277777777777779</v>
      </c>
      <c r="Z250" s="40">
        <f>(TELEF!$I$10*VLOOKUP($Z$2,'Kriter Ağırlık'!$A$1:$B$8,2,1))*X250*E250</f>
        <v>13.833333333333334</v>
      </c>
      <c r="AA250" s="40">
        <f t="shared" si="19"/>
        <v>72.711111111111109</v>
      </c>
      <c r="AB250" s="1">
        <v>5</v>
      </c>
      <c r="AC250" s="33">
        <f>VLOOKUP(AB250,'Kriter Ağırlık'!$A$12:$C$17,3,0)</f>
        <v>18.5</v>
      </c>
      <c r="AD250" s="1">
        <v>5</v>
      </c>
      <c r="AE250" s="33">
        <f>VLOOKUP(AD250,'Kriter Ağırlık'!$E$12:$G$24,3,0)</f>
        <v>1</v>
      </c>
      <c r="AF250" s="92">
        <f t="shared" si="20"/>
        <v>1345.1555555555556</v>
      </c>
      <c r="AG250" t="str">
        <f>VLOOKUP(A250,'Çalışan Listesi'!A:G,6,0)</f>
        <v>OPERATÖR</v>
      </c>
    </row>
    <row r="251" spans="1:33" x14ac:dyDescent="0.2">
      <c r="A251" s="2">
        <v>5046</v>
      </c>
      <c r="B251" s="3" t="s">
        <v>297</v>
      </c>
      <c r="C251" s="4">
        <v>44348</v>
      </c>
      <c r="D251" s="5">
        <f t="shared" ref="D251:D282" si="22">IF($AI$2-C251&gt;=90,90,$AI$2-C251)</f>
        <v>90</v>
      </c>
      <c r="E251" s="6">
        <f t="shared" si="18"/>
        <v>1</v>
      </c>
      <c r="F251" s="25" t="s">
        <v>421</v>
      </c>
      <c r="G251" s="3" t="s">
        <v>86</v>
      </c>
      <c r="H251" s="106" t="str">
        <f>VLOOKUP(A251,'Çalışan Listesi'!A:G,7,0)</f>
        <v>1.KADEME</v>
      </c>
      <c r="I251" s="65">
        <f>IFERROR(VLOOKUP(A251,'Kaizen Listesi'!A:H,8,0),0)</f>
        <v>0</v>
      </c>
      <c r="J251" s="65">
        <f>I251*VLOOKUP($I$2,'Kriter Ağırlık'!$A$1:$B$8,2,0)</f>
        <v>0</v>
      </c>
      <c r="K251" s="65">
        <f>IFERROR(VLOOKUP(A251,'Hata Kartı '!A:H,8,0),0)</f>
        <v>16.666666666666668</v>
      </c>
      <c r="L251" s="65">
        <f>K251*(VLOOKUP($K$2,'Kriter Ağırlık'!$A$1:$B$8,2,0))</f>
        <v>1.666666666666667</v>
      </c>
      <c r="M251" s="65">
        <f>IFERROR(VLOOKUP(F251,'5S'!$B$8:$E$19,4,0),0)</f>
        <v>1</v>
      </c>
      <c r="N251" s="65">
        <f>VLOOKUP(M251,'5S'!$G$8:$I$14,3,1)*VLOOKUP($M$2,'Kriter Ağırlık'!$A$1:$B$8,2,0)*E251*X251</f>
        <v>7.7333333333333334</v>
      </c>
      <c r="O251" s="1">
        <f>IFERROR(VLOOKUP(A251,Devamsızlıklar!A:K,10,0),0)</f>
        <v>0</v>
      </c>
      <c r="P251" s="40">
        <f>VLOOKUP(O251,Aralıklar!$A$2:$C$5,3,1)*VLOOKUP($O$2,'Kriter Ağırlık'!$A$1:$B$8,2,0)*E251*X251</f>
        <v>9.6666666666666661</v>
      </c>
      <c r="Q251" s="1">
        <f>IFERROR(VLOOKUP(A251,Devamsızlıklar!A:K,8,0),0)</f>
        <v>0</v>
      </c>
      <c r="R251" s="33">
        <f>VLOOKUP(Q251,Aralıklar!$E$2:$G$5,3,1)</f>
        <v>1</v>
      </c>
      <c r="S251" s="33">
        <f>IFERROR(VLOOKUP(A251,Devamsızlıklar!A:K,9,0),0)</f>
        <v>3</v>
      </c>
      <c r="T251" s="33">
        <f>VLOOKUP(S251,Aralıklar!$I$2:$K$6,3,1)</f>
        <v>50</v>
      </c>
      <c r="U251" s="33">
        <f>IFERROR(VLOOKUP(A251,Devamsızlıklar!A:K,11,0),0)</f>
        <v>0</v>
      </c>
      <c r="V251" s="33">
        <f>VLOOKUP(U251,Aralıklar!$M$2:$O$6,3,1)</f>
        <v>50</v>
      </c>
      <c r="W251" s="40">
        <f>IF(X251=0,0,(T251+V251)*R251*VLOOKUP($W$2,'Kriter Ağırlık'!$A$1:$B$8,2,1)*E251)</f>
        <v>10</v>
      </c>
      <c r="X251" s="40">
        <f>IFERROR(VLOOKUP(A251,Devamsızlıklar!A:M,13,0),1)</f>
        <v>0.96666666666666667</v>
      </c>
      <c r="Y251" s="40">
        <f>(OEE!$K$6*VLOOKUP($Y$2,'Kriter Ağırlık'!$A$1:$B$8,2,1))*X251*E251</f>
        <v>33.833333333333336</v>
      </c>
      <c r="Z251" s="40">
        <f>(TELEF!$I$10*VLOOKUP($Z$2,'Kriter Ağırlık'!$A$1:$B$8,2,1))*X251*E251</f>
        <v>14.5</v>
      </c>
      <c r="AA251" s="40">
        <f t="shared" si="19"/>
        <v>77.400000000000006</v>
      </c>
      <c r="AB251" s="1">
        <v>5</v>
      </c>
      <c r="AC251" s="33">
        <f>VLOOKUP(AB251,'Kriter Ağırlık'!$A$12:$C$17,3,0)</f>
        <v>18.5</v>
      </c>
      <c r="AD251" s="1">
        <v>5</v>
      </c>
      <c r="AE251" s="33">
        <f>VLOOKUP(AD251,'Kriter Ağırlık'!$E$12:$G$24,3,0)</f>
        <v>1</v>
      </c>
      <c r="AF251" s="92">
        <f t="shared" si="20"/>
        <v>1431.9</v>
      </c>
      <c r="AG251" t="str">
        <f>VLOOKUP(A251,'Çalışan Listesi'!A:G,6,0)</f>
        <v>OPERATÖR</v>
      </c>
    </row>
    <row r="252" spans="1:33" x14ac:dyDescent="0.2">
      <c r="A252" s="2">
        <v>5055</v>
      </c>
      <c r="B252" s="3" t="s">
        <v>298</v>
      </c>
      <c r="C252" s="4">
        <v>44368</v>
      </c>
      <c r="D252" s="5">
        <f t="shared" si="22"/>
        <v>90</v>
      </c>
      <c r="E252" s="6">
        <f t="shared" si="18"/>
        <v>1</v>
      </c>
      <c r="F252" s="25" t="s">
        <v>422</v>
      </c>
      <c r="G252" s="3" t="s">
        <v>54</v>
      </c>
      <c r="H252" s="106" t="str">
        <f>VLOOKUP(A252,'Çalışan Listesi'!A:G,7,0)</f>
        <v>1.KADEME</v>
      </c>
      <c r="I252" s="65">
        <f>IFERROR(VLOOKUP(A252,'Kaizen Listesi'!A:H,8,0),0)</f>
        <v>0</v>
      </c>
      <c r="J252" s="65">
        <f>I252*VLOOKUP($I$2,'Kriter Ağırlık'!$A$1:$B$8,2,0)</f>
        <v>0</v>
      </c>
      <c r="K252" s="65">
        <f>IFERROR(VLOOKUP(A252,'Hata Kartı '!A:H,8,0),0)</f>
        <v>16.666666666666668</v>
      </c>
      <c r="L252" s="65">
        <f>K252*(VLOOKUP($K$2,'Kriter Ağırlık'!$A$1:$B$8,2,0))</f>
        <v>1.666666666666667</v>
      </c>
      <c r="M252" s="65">
        <f>IFERROR(VLOOKUP(F252,'5S'!$B$8:$E$19,4,0),0)</f>
        <v>1</v>
      </c>
      <c r="N252" s="65">
        <f>VLOOKUP(M252,'5S'!$G$8:$I$14,3,1)*VLOOKUP($M$2,'Kriter Ağırlık'!$A$1:$B$8,2,0)*E252*X252</f>
        <v>7.1111111111111107</v>
      </c>
      <c r="O252" s="1">
        <f>IFERROR(VLOOKUP(A252,Devamsızlıklar!A:K,10,0),0)</f>
        <v>0</v>
      </c>
      <c r="P252" s="40">
        <f>VLOOKUP(O252,Aralıklar!$A$2:$C$5,3,1)*VLOOKUP($O$2,'Kriter Ağırlık'!$A$1:$B$8,2,0)*E252*X252</f>
        <v>8.8888888888888893</v>
      </c>
      <c r="Q252" s="1">
        <f>IFERROR(VLOOKUP(A252,Devamsızlıklar!A:K,8,0),0)</f>
        <v>0</v>
      </c>
      <c r="R252" s="33">
        <f>VLOOKUP(Q252,Aralıklar!$E$2:$G$5,3,1)</f>
        <v>1</v>
      </c>
      <c r="S252" s="33">
        <f>IFERROR(VLOOKUP(A252,Devamsızlıklar!A:K,9,0),0)</f>
        <v>10</v>
      </c>
      <c r="T252" s="33">
        <f>VLOOKUP(S252,Aralıklar!$I$2:$K$6,3,1)</f>
        <v>0</v>
      </c>
      <c r="U252" s="33">
        <f>IFERROR(VLOOKUP(A252,Devamsızlıklar!A:K,11,0),0)</f>
        <v>0</v>
      </c>
      <c r="V252" s="33">
        <f>VLOOKUP(U252,Aralıklar!$M$2:$O$6,3,1)</f>
        <v>50</v>
      </c>
      <c r="W252" s="40">
        <f>IF(X252=0,0,(T252+V252)*R252*VLOOKUP($W$2,'Kriter Ağırlık'!$A$1:$B$8,2,1)*E252)</f>
        <v>5</v>
      </c>
      <c r="X252" s="40">
        <f>IFERROR(VLOOKUP(A252,Devamsızlıklar!A:M,13,0),1)</f>
        <v>0.88888888888888884</v>
      </c>
      <c r="Y252" s="40">
        <f>(OEE!$K$6*VLOOKUP($Y$2,'Kriter Ağırlık'!$A$1:$B$8,2,1))*X252*E252</f>
        <v>31.111111111111111</v>
      </c>
      <c r="Z252" s="40">
        <f>(TELEF!$I$10*VLOOKUP($Z$2,'Kriter Ağırlık'!$A$1:$B$8,2,1))*X252*E252</f>
        <v>13.333333333333332</v>
      </c>
      <c r="AA252" s="40">
        <f t="shared" si="19"/>
        <v>67.111111111111114</v>
      </c>
      <c r="AB252" s="1">
        <v>5</v>
      </c>
      <c r="AC252" s="33">
        <f>VLOOKUP(AB252,'Kriter Ağırlık'!$A$12:$C$17,3,0)</f>
        <v>18.5</v>
      </c>
      <c r="AD252" s="1">
        <v>5</v>
      </c>
      <c r="AE252" s="33">
        <f>VLOOKUP(AD252,'Kriter Ağırlık'!$E$12:$G$24,3,0)</f>
        <v>1</v>
      </c>
      <c r="AF252" s="92">
        <f t="shared" si="20"/>
        <v>1241.5555555555557</v>
      </c>
      <c r="AG252" t="str">
        <f>VLOOKUP(A252,'Çalışan Listesi'!A:G,6,0)</f>
        <v>OPERATÖR</v>
      </c>
    </row>
    <row r="253" spans="1:33" x14ac:dyDescent="0.2">
      <c r="A253" s="2">
        <v>5058</v>
      </c>
      <c r="B253" s="3" t="s">
        <v>299</v>
      </c>
      <c r="C253" s="4">
        <v>44375</v>
      </c>
      <c r="D253" s="5">
        <f t="shared" si="22"/>
        <v>90</v>
      </c>
      <c r="E253" s="6">
        <f t="shared" si="18"/>
        <v>1</v>
      </c>
      <c r="F253" s="25" t="s">
        <v>421</v>
      </c>
      <c r="G253" s="3" t="s">
        <v>61</v>
      </c>
      <c r="H253" s="106" t="str">
        <f>VLOOKUP(A253,'Çalışan Listesi'!A:G,7,0)</f>
        <v>1.KADEME</v>
      </c>
      <c r="I253" s="65">
        <f>IFERROR(VLOOKUP(A253,'Kaizen Listesi'!A:H,8,0),0)</f>
        <v>0</v>
      </c>
      <c r="J253" s="65">
        <f>I253*VLOOKUP($I$2,'Kriter Ağırlık'!$A$1:$B$8,2,0)</f>
        <v>0</v>
      </c>
      <c r="K253" s="65">
        <f>IFERROR(VLOOKUP(A253,'Hata Kartı '!A:H,8,0),0)</f>
        <v>16.666666666666668</v>
      </c>
      <c r="L253" s="65">
        <f>K253*(VLOOKUP($K$2,'Kriter Ağırlık'!$A$1:$B$8,2,0))</f>
        <v>1.666666666666667</v>
      </c>
      <c r="M253" s="65">
        <f>IFERROR(VLOOKUP(F253,'5S'!$B$8:$E$19,4,0),0)</f>
        <v>1</v>
      </c>
      <c r="N253" s="65">
        <f>VLOOKUP(M253,'5S'!$G$8:$I$14,3,1)*VLOOKUP($M$2,'Kriter Ağırlık'!$A$1:$B$8,2,0)*E253*X253</f>
        <v>8</v>
      </c>
      <c r="O253" s="1">
        <f>IFERROR(VLOOKUP(A253,Devamsızlıklar!A:K,10,0),0)</f>
        <v>0</v>
      </c>
      <c r="P253" s="40">
        <f>VLOOKUP(O253,Aralıklar!$A$2:$C$5,3,1)*VLOOKUP($O$2,'Kriter Ağırlık'!$A$1:$B$8,2,0)*E253*X253</f>
        <v>10</v>
      </c>
      <c r="Q253" s="1">
        <f>IFERROR(VLOOKUP(A253,Devamsızlıklar!A:K,8,0),0)</f>
        <v>0</v>
      </c>
      <c r="R253" s="33">
        <f>VLOOKUP(Q253,Aralıklar!$E$2:$G$5,3,1)</f>
        <v>1</v>
      </c>
      <c r="S253" s="33">
        <f>IFERROR(VLOOKUP(A253,Devamsızlıklar!A:K,9,0),0)</f>
        <v>0</v>
      </c>
      <c r="T253" s="33">
        <f>VLOOKUP(S253,Aralıklar!$I$2:$K$6,3,1)</f>
        <v>50</v>
      </c>
      <c r="U253" s="33">
        <f>IFERROR(VLOOKUP(A253,Devamsızlıklar!A:K,11,0),0)</f>
        <v>0</v>
      </c>
      <c r="V253" s="33">
        <f>VLOOKUP(U253,Aralıklar!$M$2:$O$6,3,1)</f>
        <v>50</v>
      </c>
      <c r="W253" s="40">
        <f>IF(X253=0,0,(T253+V253)*R253*VLOOKUP($W$2,'Kriter Ağırlık'!$A$1:$B$8,2,1)*E253)</f>
        <v>10</v>
      </c>
      <c r="X253" s="40">
        <f>IFERROR(VLOOKUP(A253,Devamsızlıklar!A:M,13,0),1)</f>
        <v>1</v>
      </c>
      <c r="Y253" s="40">
        <f>(OEE!$K$6*VLOOKUP($Y$2,'Kriter Ağırlık'!$A$1:$B$8,2,1))*X253*E253</f>
        <v>35</v>
      </c>
      <c r="Z253" s="40">
        <f>(TELEF!$I$10*VLOOKUP($Z$2,'Kriter Ağırlık'!$A$1:$B$8,2,1))*X253*E253</f>
        <v>15</v>
      </c>
      <c r="AA253" s="40">
        <f t="shared" si="19"/>
        <v>79.666666666666671</v>
      </c>
      <c r="AB253" s="1">
        <v>5</v>
      </c>
      <c r="AC253" s="33">
        <f>VLOOKUP(AB253,'Kriter Ağırlık'!$A$12:$C$17,3,0)</f>
        <v>18.5</v>
      </c>
      <c r="AD253" s="1">
        <v>5</v>
      </c>
      <c r="AE253" s="33">
        <f>VLOOKUP(AD253,'Kriter Ağırlık'!$E$12:$G$24,3,0)</f>
        <v>1</v>
      </c>
      <c r="AF253" s="92">
        <f t="shared" si="20"/>
        <v>1473.8333333333335</v>
      </c>
      <c r="AG253" t="str">
        <f>VLOOKUP(A253,'Çalışan Listesi'!A:G,6,0)</f>
        <v>OPERATÖR</v>
      </c>
    </row>
    <row r="254" spans="1:33" x14ac:dyDescent="0.2">
      <c r="A254" s="2">
        <v>5059</v>
      </c>
      <c r="B254" s="3" t="s">
        <v>300</v>
      </c>
      <c r="C254" s="4">
        <v>44375</v>
      </c>
      <c r="D254" s="5">
        <f t="shared" si="22"/>
        <v>90</v>
      </c>
      <c r="E254" s="6">
        <f t="shared" si="18"/>
        <v>1</v>
      </c>
      <c r="F254" s="25" t="s">
        <v>426</v>
      </c>
      <c r="G254" s="3" t="s">
        <v>549</v>
      </c>
      <c r="H254" s="106" t="str">
        <f>VLOOKUP(A254,'Çalışan Listesi'!A:G,7,0)</f>
        <v>1.KADEME</v>
      </c>
      <c r="I254" s="65">
        <f>IFERROR(VLOOKUP(A254,'Kaizen Listesi'!A:H,8,0),0)</f>
        <v>0</v>
      </c>
      <c r="J254" s="65">
        <f>I254*VLOOKUP($I$2,'Kriter Ağırlık'!$A$1:$B$8,2,0)</f>
        <v>0</v>
      </c>
      <c r="K254" s="65">
        <f>IFERROR(VLOOKUP(A254,'Hata Kartı '!A:H,8,0),0)</f>
        <v>16.666666666666668</v>
      </c>
      <c r="L254" s="65">
        <f>K254*(VLOOKUP($K$2,'Kriter Ağırlık'!$A$1:$B$8,2,0))</f>
        <v>1.666666666666667</v>
      </c>
      <c r="M254" s="65">
        <f>IFERROR(VLOOKUP(F254,'5S'!$B$8:$E$19,4,0),0)</f>
        <v>1</v>
      </c>
      <c r="N254" s="65">
        <f>VLOOKUP(M254,'5S'!$G$8:$I$14,3,1)*VLOOKUP($M$2,'Kriter Ağırlık'!$A$1:$B$8,2,0)*E254*X254</f>
        <v>8</v>
      </c>
      <c r="O254" s="1">
        <f>IFERROR(VLOOKUP(A254,Devamsızlıklar!A:K,10,0),0)</f>
        <v>0</v>
      </c>
      <c r="P254" s="40">
        <f>VLOOKUP(O254,Aralıklar!$A$2:$C$5,3,1)*VLOOKUP($O$2,'Kriter Ağırlık'!$A$1:$B$8,2,0)*E254*X254</f>
        <v>10</v>
      </c>
      <c r="Q254" s="1">
        <f>IFERROR(VLOOKUP(A254,Devamsızlıklar!A:K,8,0),0)</f>
        <v>0</v>
      </c>
      <c r="R254" s="33">
        <f>VLOOKUP(Q254,Aralıklar!$E$2:$G$5,3,1)</f>
        <v>1</v>
      </c>
      <c r="S254" s="33">
        <f>IFERROR(VLOOKUP(A254,Devamsızlıklar!A:K,9,0),0)</f>
        <v>0</v>
      </c>
      <c r="T254" s="33">
        <f>VLOOKUP(S254,Aralıklar!$I$2:$K$6,3,1)</f>
        <v>50</v>
      </c>
      <c r="U254" s="33">
        <f>IFERROR(VLOOKUP(A254,Devamsızlıklar!A:K,11,0),0)</f>
        <v>0</v>
      </c>
      <c r="V254" s="33">
        <f>VLOOKUP(U254,Aralıklar!$M$2:$O$6,3,1)</f>
        <v>50</v>
      </c>
      <c r="W254" s="40">
        <f>IF(X254=0,0,(T254+V254)*R254*VLOOKUP($W$2,'Kriter Ağırlık'!$A$1:$B$8,2,1)*E254)</f>
        <v>10</v>
      </c>
      <c r="X254" s="40">
        <f>IFERROR(VLOOKUP(A254,Devamsızlıklar!A:M,13,0),1)</f>
        <v>1</v>
      </c>
      <c r="Y254" s="40">
        <f>(OEE!$K$6*VLOOKUP($Y$2,'Kriter Ağırlık'!$A$1:$B$8,2,1))*X254*E254</f>
        <v>35</v>
      </c>
      <c r="Z254" s="40">
        <f>(TELEF!$I$10*VLOOKUP($Z$2,'Kriter Ağırlık'!$A$1:$B$8,2,1))*X254*E254</f>
        <v>15</v>
      </c>
      <c r="AA254" s="40">
        <f t="shared" si="19"/>
        <v>79.666666666666671</v>
      </c>
      <c r="AB254" s="1">
        <v>5</v>
      </c>
      <c r="AC254" s="33">
        <f>VLOOKUP(AB254,'Kriter Ağırlık'!$A$12:$C$17,3,0)</f>
        <v>18.5</v>
      </c>
      <c r="AD254" s="1">
        <v>5</v>
      </c>
      <c r="AE254" s="33">
        <f>VLOOKUP(AD254,'Kriter Ağırlık'!$E$12:$G$24,3,0)</f>
        <v>1</v>
      </c>
      <c r="AF254" s="92">
        <f t="shared" si="20"/>
        <v>1473.8333333333335</v>
      </c>
      <c r="AG254" t="str">
        <f>VLOOKUP(A254,'Çalışan Listesi'!A:G,6,0)</f>
        <v>OPERATÖR</v>
      </c>
    </row>
    <row r="255" spans="1:33" x14ac:dyDescent="0.2">
      <c r="A255" s="2">
        <v>5078</v>
      </c>
      <c r="B255" s="3" t="s">
        <v>301</v>
      </c>
      <c r="C255" s="4">
        <v>44410</v>
      </c>
      <c r="D255" s="5">
        <f t="shared" si="22"/>
        <v>90</v>
      </c>
      <c r="E255" s="6">
        <f t="shared" si="18"/>
        <v>1</v>
      </c>
      <c r="F255" s="25" t="s">
        <v>421</v>
      </c>
      <c r="G255" s="3" t="s">
        <v>86</v>
      </c>
      <c r="H255" s="106" t="str">
        <f>VLOOKUP(A255,'Çalışan Listesi'!A:G,7,0)</f>
        <v>1.KADEME</v>
      </c>
      <c r="I255" s="65">
        <f>IFERROR(VLOOKUP(A255,'Kaizen Listesi'!A:H,8,0),0)</f>
        <v>0</v>
      </c>
      <c r="J255" s="65">
        <f>I255*VLOOKUP($I$2,'Kriter Ağırlık'!$A$1:$B$8,2,0)</f>
        <v>0</v>
      </c>
      <c r="K255" s="65">
        <f>IFERROR(VLOOKUP(A255,'Hata Kartı '!A:H,8,0),0)</f>
        <v>33.333333333333336</v>
      </c>
      <c r="L255" s="65">
        <f>K255*(VLOOKUP($K$2,'Kriter Ağırlık'!$A$1:$B$8,2,0))</f>
        <v>3.3333333333333339</v>
      </c>
      <c r="M255" s="65">
        <f>IFERROR(VLOOKUP(F255,'5S'!$B$8:$E$19,4,0),0)</f>
        <v>1</v>
      </c>
      <c r="N255" s="65">
        <f>VLOOKUP(M255,'5S'!$G$8:$I$14,3,1)*VLOOKUP($M$2,'Kriter Ağırlık'!$A$1:$B$8,2,0)*E255*X255</f>
        <v>7.0222222222222221</v>
      </c>
      <c r="O255" s="1">
        <f>IFERROR(VLOOKUP(A255,Devamsızlıklar!A:K,10,0),0)</f>
        <v>0</v>
      </c>
      <c r="P255" s="40">
        <f>VLOOKUP(O255,Aralıklar!$A$2:$C$5,3,1)*VLOOKUP($O$2,'Kriter Ağırlık'!$A$1:$B$8,2,0)*E255*X255</f>
        <v>8.7777777777777786</v>
      </c>
      <c r="Q255" s="1">
        <f>IFERROR(VLOOKUP(A255,Devamsızlıklar!A:K,8,0),0)</f>
        <v>0</v>
      </c>
      <c r="R255" s="33">
        <f>VLOOKUP(Q255,Aralıklar!$E$2:$G$5,3,1)</f>
        <v>1</v>
      </c>
      <c r="S255" s="33">
        <f>IFERROR(VLOOKUP(A255,Devamsızlıklar!A:K,9,0),0)</f>
        <v>6</v>
      </c>
      <c r="T255" s="33">
        <f>VLOOKUP(S255,Aralıklar!$I$2:$K$6,3,1)</f>
        <v>25</v>
      </c>
      <c r="U255" s="33">
        <f>IFERROR(VLOOKUP(A255,Devamsızlıklar!A:K,11,0),0)</f>
        <v>5</v>
      </c>
      <c r="V255" s="33">
        <f>VLOOKUP(U255,Aralıklar!$M$2:$O$6,3,1)</f>
        <v>0</v>
      </c>
      <c r="W255" s="40">
        <f>IF(X255=0,0,(T255+V255)*R255*VLOOKUP($W$2,'Kriter Ağırlık'!$A$1:$B$8,2,1)*E255)</f>
        <v>2.5</v>
      </c>
      <c r="X255" s="40">
        <f>IFERROR(VLOOKUP(A255,Devamsızlıklar!A:M,13,0),1)</f>
        <v>0.87777777777777777</v>
      </c>
      <c r="Y255" s="40">
        <f>(OEE!$K$6*VLOOKUP($Y$2,'Kriter Ağırlık'!$A$1:$B$8,2,1))*X255*E255</f>
        <v>30.722222222222221</v>
      </c>
      <c r="Z255" s="40">
        <f>(TELEF!$I$10*VLOOKUP($Z$2,'Kriter Ağırlık'!$A$1:$B$8,2,1))*X255*E255</f>
        <v>13.166666666666666</v>
      </c>
      <c r="AA255" s="40">
        <f t="shared" si="19"/>
        <v>65.522222222222226</v>
      </c>
      <c r="AB255" s="1">
        <v>5</v>
      </c>
      <c r="AC255" s="33">
        <f>VLOOKUP(AB255,'Kriter Ağırlık'!$A$12:$C$17,3,0)</f>
        <v>18.5</v>
      </c>
      <c r="AD255" s="1">
        <v>5</v>
      </c>
      <c r="AE255" s="33">
        <f>VLOOKUP(AD255,'Kriter Ağırlık'!$E$12:$G$24,3,0)</f>
        <v>1</v>
      </c>
      <c r="AF255" s="92">
        <f t="shared" si="20"/>
        <v>1212.1611111111113</v>
      </c>
      <c r="AG255" t="str">
        <f>VLOOKUP(A255,'Çalışan Listesi'!A:G,6,0)</f>
        <v>OPERATÖR</v>
      </c>
    </row>
    <row r="256" spans="1:33" x14ac:dyDescent="0.2">
      <c r="A256" s="2">
        <v>5083</v>
      </c>
      <c r="B256" s="3" t="s">
        <v>302</v>
      </c>
      <c r="C256" s="4">
        <v>44417</v>
      </c>
      <c r="D256" s="5">
        <f t="shared" si="22"/>
        <v>90</v>
      </c>
      <c r="E256" s="6">
        <f t="shared" si="18"/>
        <v>1</v>
      </c>
      <c r="F256" s="25" t="s">
        <v>426</v>
      </c>
      <c r="G256" s="3" t="s">
        <v>104</v>
      </c>
      <c r="H256" s="106" t="str">
        <f>VLOOKUP(A256,'Çalışan Listesi'!A:G,7,0)</f>
        <v>1.KADEME</v>
      </c>
      <c r="I256" s="65">
        <f>IFERROR(VLOOKUP(A256,'Kaizen Listesi'!A:H,8,0),0)</f>
        <v>0</v>
      </c>
      <c r="J256" s="65">
        <f>I256*VLOOKUP($I$2,'Kriter Ağırlık'!$A$1:$B$8,2,0)</f>
        <v>0</v>
      </c>
      <c r="K256" s="65">
        <f>IFERROR(VLOOKUP(A256,'Hata Kartı '!A:H,8,0),0)</f>
        <v>0</v>
      </c>
      <c r="L256" s="65">
        <f>K256*(VLOOKUP($K$2,'Kriter Ağırlık'!$A$1:$B$8,2,0))</f>
        <v>0</v>
      </c>
      <c r="M256" s="65">
        <f>IFERROR(VLOOKUP(F256,'5S'!$B$8:$E$19,4,0),0)</f>
        <v>1</v>
      </c>
      <c r="N256" s="65">
        <f>VLOOKUP(M256,'5S'!$G$8:$I$14,3,1)*VLOOKUP($M$2,'Kriter Ağırlık'!$A$1:$B$8,2,0)*E256*X256</f>
        <v>8</v>
      </c>
      <c r="O256" s="1">
        <f>IFERROR(VLOOKUP(A256,Devamsızlıklar!A:K,10,0),0)</f>
        <v>0</v>
      </c>
      <c r="P256" s="40">
        <f>VLOOKUP(O256,Aralıklar!$A$2:$C$5,3,1)*VLOOKUP($O$2,'Kriter Ağırlık'!$A$1:$B$8,2,0)*E256*X256</f>
        <v>10</v>
      </c>
      <c r="Q256" s="1">
        <f>IFERROR(VLOOKUP(A256,Devamsızlıklar!A:K,8,0),0)</f>
        <v>0</v>
      </c>
      <c r="R256" s="33">
        <f>VLOOKUP(Q256,Aralıklar!$E$2:$G$5,3,1)</f>
        <v>1</v>
      </c>
      <c r="S256" s="33">
        <f>IFERROR(VLOOKUP(A256,Devamsızlıklar!A:K,9,0),0)</f>
        <v>0</v>
      </c>
      <c r="T256" s="33">
        <f>VLOOKUP(S256,Aralıklar!$I$2:$K$6,3,1)</f>
        <v>50</v>
      </c>
      <c r="U256" s="33">
        <f>IFERROR(VLOOKUP(A256,Devamsızlıklar!A:K,11,0),0)</f>
        <v>0</v>
      </c>
      <c r="V256" s="33">
        <f>VLOOKUP(U256,Aralıklar!$M$2:$O$6,3,1)</f>
        <v>50</v>
      </c>
      <c r="W256" s="40">
        <f>IF(X256=0,0,(T256+V256)*R256*VLOOKUP($W$2,'Kriter Ağırlık'!$A$1:$B$8,2,1)*E256)</f>
        <v>10</v>
      </c>
      <c r="X256" s="40">
        <f>IFERROR(VLOOKUP(A256,Devamsızlıklar!A:M,13,0),1)</f>
        <v>1</v>
      </c>
      <c r="Y256" s="40">
        <f>(OEE!$K$6*VLOOKUP($Y$2,'Kriter Ağırlık'!$A$1:$B$8,2,1))*X256*E256</f>
        <v>35</v>
      </c>
      <c r="Z256" s="40">
        <f>(TELEF!$I$10*VLOOKUP($Z$2,'Kriter Ağırlık'!$A$1:$B$8,2,1))*X256*E256</f>
        <v>15</v>
      </c>
      <c r="AA256" s="40">
        <f t="shared" si="19"/>
        <v>78</v>
      </c>
      <c r="AB256" s="1">
        <v>5</v>
      </c>
      <c r="AC256" s="33">
        <f>VLOOKUP(AB256,'Kriter Ağırlık'!$A$12:$C$17,3,0)</f>
        <v>18.5</v>
      </c>
      <c r="AD256" s="76">
        <v>5</v>
      </c>
      <c r="AE256" s="33">
        <f>VLOOKUP(AD256,'Kriter Ağırlık'!$E$12:$G$24,3,0)</f>
        <v>1</v>
      </c>
      <c r="AF256" s="92">
        <f t="shared" si="20"/>
        <v>1443</v>
      </c>
      <c r="AG256" t="str">
        <f>VLOOKUP(A256,'Çalışan Listesi'!A:G,6,0)</f>
        <v>OPERATÖR</v>
      </c>
    </row>
    <row r="257" spans="1:33" x14ac:dyDescent="0.2">
      <c r="A257" s="2">
        <v>5084</v>
      </c>
      <c r="B257" s="3" t="s">
        <v>303</v>
      </c>
      <c r="C257" s="4">
        <v>44417</v>
      </c>
      <c r="D257" s="5">
        <f t="shared" si="22"/>
        <v>90</v>
      </c>
      <c r="E257" s="6">
        <f t="shared" ref="E257:E319" si="23">D257/90</f>
        <v>1</v>
      </c>
      <c r="F257" s="25" t="s">
        <v>425</v>
      </c>
      <c r="G257" s="3" t="s">
        <v>24</v>
      </c>
      <c r="H257" s="106" t="str">
        <f>VLOOKUP(A257,'Çalışan Listesi'!A:G,7,0)</f>
        <v>1.KADEME</v>
      </c>
      <c r="I257" s="65">
        <f>IFERROR(VLOOKUP(A257,'Kaizen Listesi'!A:H,8,0),0)</f>
        <v>0</v>
      </c>
      <c r="J257" s="65">
        <f>I257*VLOOKUP($I$2,'Kriter Ağırlık'!$A$1:$B$8,2,0)</f>
        <v>0</v>
      </c>
      <c r="K257" s="65">
        <f>IFERROR(VLOOKUP(A257,'Hata Kartı '!A:H,8,0),0)</f>
        <v>0</v>
      </c>
      <c r="L257" s="65">
        <f>K257*(VLOOKUP($K$2,'Kriter Ağırlık'!$A$1:$B$8,2,0))</f>
        <v>0</v>
      </c>
      <c r="M257" s="65">
        <f>IFERROR(VLOOKUP(F257,'5S'!$B$8:$E$19,4,0),0)</f>
        <v>1</v>
      </c>
      <c r="N257" s="65">
        <f>VLOOKUP(M257,'5S'!$G$8:$I$14,3,1)*VLOOKUP($M$2,'Kriter Ağırlık'!$A$1:$B$8,2,0)*E257*X257</f>
        <v>7.5555555555555554</v>
      </c>
      <c r="O257" s="1">
        <f>IFERROR(VLOOKUP(A257,Devamsızlıklar!A:K,10,0),0)</f>
        <v>0</v>
      </c>
      <c r="P257" s="40">
        <f>VLOOKUP(O257,Aralıklar!$A$2:$C$5,3,1)*VLOOKUP($O$2,'Kriter Ağırlık'!$A$1:$B$8,2,0)*E257*X257</f>
        <v>9.4444444444444446</v>
      </c>
      <c r="Q257" s="1">
        <f>IFERROR(VLOOKUP(A257,Devamsızlıklar!A:K,8,0),0)</f>
        <v>0</v>
      </c>
      <c r="R257" s="33">
        <f>VLOOKUP(Q257,Aralıklar!$E$2:$G$5,3,1)</f>
        <v>1</v>
      </c>
      <c r="S257" s="33">
        <f>IFERROR(VLOOKUP(A257,Devamsızlıklar!A:K,9,0),0)</f>
        <v>4</v>
      </c>
      <c r="T257" s="33">
        <f>VLOOKUP(S257,Aralıklar!$I$2:$K$6,3,1)</f>
        <v>25</v>
      </c>
      <c r="U257" s="33">
        <f>IFERROR(VLOOKUP(A257,Devamsızlıklar!A:K,11,0),0)</f>
        <v>1</v>
      </c>
      <c r="V257" s="33">
        <f>VLOOKUP(U257,Aralıklar!$M$2:$O$6,3,1)</f>
        <v>50</v>
      </c>
      <c r="W257" s="40">
        <f>IF(X257=0,0,(T257+V257)*R257*VLOOKUP($W$2,'Kriter Ağırlık'!$A$1:$B$8,2,1)*E257)</f>
        <v>7.5</v>
      </c>
      <c r="X257" s="40">
        <f>IFERROR(VLOOKUP(A257,Devamsızlıklar!A:M,13,0),1)</f>
        <v>0.94444444444444442</v>
      </c>
      <c r="Y257" s="40">
        <f>(OEE!$K$6*VLOOKUP($Y$2,'Kriter Ağırlık'!$A$1:$B$8,2,1))*X257*E257</f>
        <v>33.055555555555557</v>
      </c>
      <c r="Z257" s="40">
        <f>(TELEF!$I$10*VLOOKUP($Z$2,'Kriter Ağırlık'!$A$1:$B$8,2,1))*X257*E257</f>
        <v>14.166666666666666</v>
      </c>
      <c r="AA257" s="40">
        <f t="shared" ref="AA257:AA319" si="24">J257+L257+N257+P257+W257+Y257+Z257</f>
        <v>71.722222222222229</v>
      </c>
      <c r="AB257" s="1">
        <v>5</v>
      </c>
      <c r="AC257" s="33">
        <f>VLOOKUP(AB257,'Kriter Ağırlık'!$A$12:$C$17,3,0)</f>
        <v>18.5</v>
      </c>
      <c r="AD257" s="1">
        <v>12</v>
      </c>
      <c r="AE257" s="33">
        <f>VLOOKUP(AD257,'Kriter Ağırlık'!$E$12:$G$24,3,0)</f>
        <v>1</v>
      </c>
      <c r="AF257" s="92">
        <f t="shared" ref="AF257:AF319" si="25">AA257*AC257*AE257</f>
        <v>1326.8611111111113</v>
      </c>
      <c r="AG257" t="str">
        <f>VLOOKUP(A257,'Çalışan Listesi'!A:G,6,0)</f>
        <v>TEKNİSYEN</v>
      </c>
    </row>
    <row r="258" spans="1:33" x14ac:dyDescent="0.2">
      <c r="A258" s="2">
        <v>5092</v>
      </c>
      <c r="B258" s="3" t="s">
        <v>304</v>
      </c>
      <c r="C258" s="4">
        <v>44424</v>
      </c>
      <c r="D258" s="5">
        <f t="shared" si="22"/>
        <v>90</v>
      </c>
      <c r="E258" s="6">
        <f t="shared" si="23"/>
        <v>1</v>
      </c>
      <c r="F258" s="25" t="s">
        <v>425</v>
      </c>
      <c r="G258" s="3" t="s">
        <v>24</v>
      </c>
      <c r="H258" s="106" t="str">
        <f>VLOOKUP(A258,'Çalışan Listesi'!A:G,7,0)</f>
        <v>1.KADEME</v>
      </c>
      <c r="I258" s="65">
        <f>IFERROR(VLOOKUP(A258,'Kaizen Listesi'!A:H,8,0),0)</f>
        <v>0</v>
      </c>
      <c r="J258" s="65">
        <f>I258*VLOOKUP($I$2,'Kriter Ağırlık'!$A$1:$B$8,2,0)</f>
        <v>0</v>
      </c>
      <c r="K258" s="65">
        <f>IFERROR(VLOOKUP(A258,'Hata Kartı '!A:H,8,0),0)</f>
        <v>0</v>
      </c>
      <c r="L258" s="65">
        <f>K258*(VLOOKUP($K$2,'Kriter Ağırlık'!$A$1:$B$8,2,0))</f>
        <v>0</v>
      </c>
      <c r="M258" s="65">
        <f>IFERROR(VLOOKUP(F258,'5S'!$B$8:$E$19,4,0),0)</f>
        <v>1</v>
      </c>
      <c r="N258" s="65">
        <f>VLOOKUP(M258,'5S'!$G$8:$I$14,3,1)*VLOOKUP($M$2,'Kriter Ağırlık'!$A$1:$B$8,2,0)*E258*X258</f>
        <v>7.6444444444444448</v>
      </c>
      <c r="O258" s="1">
        <f>IFERROR(VLOOKUP(A258,Devamsızlıklar!A:K,10,0),0)</f>
        <v>0</v>
      </c>
      <c r="P258" s="40">
        <f>VLOOKUP(O258,Aralıklar!$A$2:$C$5,3,1)*VLOOKUP($O$2,'Kriter Ağırlık'!$A$1:$B$8,2,0)*E258*X258</f>
        <v>9.5555555555555554</v>
      </c>
      <c r="Q258" s="1">
        <f>IFERROR(VLOOKUP(A258,Devamsızlıklar!A:K,8,0),0)</f>
        <v>0</v>
      </c>
      <c r="R258" s="33">
        <f>VLOOKUP(Q258,Aralıklar!$E$2:$G$5,3,1)</f>
        <v>1</v>
      </c>
      <c r="S258" s="33">
        <f>IFERROR(VLOOKUP(A258,Devamsızlıklar!A:K,9,0),0)</f>
        <v>3</v>
      </c>
      <c r="T258" s="33">
        <f>VLOOKUP(S258,Aralıklar!$I$2:$K$6,3,1)</f>
        <v>50</v>
      </c>
      <c r="U258" s="33">
        <f>IFERROR(VLOOKUP(A258,Devamsızlıklar!A:K,11,0),0)</f>
        <v>1</v>
      </c>
      <c r="V258" s="33">
        <f>VLOOKUP(U258,Aralıklar!$M$2:$O$6,3,1)</f>
        <v>50</v>
      </c>
      <c r="W258" s="40">
        <f>IF(X258=0,0,(T258+V258)*R258*VLOOKUP($W$2,'Kriter Ağırlık'!$A$1:$B$8,2,1)*E258)</f>
        <v>10</v>
      </c>
      <c r="X258" s="40">
        <f>IFERROR(VLOOKUP(A258,Devamsızlıklar!A:M,13,0),1)</f>
        <v>0.9555555555555556</v>
      </c>
      <c r="Y258" s="40">
        <f>(OEE!$K$6*VLOOKUP($Y$2,'Kriter Ağırlık'!$A$1:$B$8,2,1))*X258*E258</f>
        <v>33.444444444444443</v>
      </c>
      <c r="Z258" s="40">
        <f>(TELEF!$I$10*VLOOKUP($Z$2,'Kriter Ağırlık'!$A$1:$B$8,2,1))*X258*E258</f>
        <v>14.333333333333334</v>
      </c>
      <c r="AA258" s="40">
        <f t="shared" si="24"/>
        <v>74.977777777777774</v>
      </c>
      <c r="AB258" s="1">
        <v>5</v>
      </c>
      <c r="AC258" s="33">
        <f>VLOOKUP(AB258,'Kriter Ağırlık'!$A$12:$C$17,3,0)</f>
        <v>18.5</v>
      </c>
      <c r="AD258" s="1">
        <v>12</v>
      </c>
      <c r="AE258" s="33">
        <f>VLOOKUP(AD258,'Kriter Ağırlık'!$E$12:$G$24,3,0)</f>
        <v>1</v>
      </c>
      <c r="AF258" s="92">
        <f t="shared" si="25"/>
        <v>1387.0888888888887</v>
      </c>
      <c r="AG258" t="str">
        <f>VLOOKUP(A258,'Çalışan Listesi'!A:G,6,0)</f>
        <v>TEKNİSYEN</v>
      </c>
    </row>
    <row r="259" spans="1:33" x14ac:dyDescent="0.2">
      <c r="A259" s="2">
        <v>5105</v>
      </c>
      <c r="B259" s="3" t="s">
        <v>305</v>
      </c>
      <c r="C259" s="4">
        <v>44431</v>
      </c>
      <c r="D259" s="5">
        <f t="shared" si="22"/>
        <v>90</v>
      </c>
      <c r="E259" s="6">
        <f t="shared" si="23"/>
        <v>1</v>
      </c>
      <c r="F259" s="25" t="s">
        <v>421</v>
      </c>
      <c r="G259" s="3" t="s">
        <v>10</v>
      </c>
      <c r="H259" s="106" t="str">
        <f>VLOOKUP(A259,'Çalışan Listesi'!A:G,7,0)</f>
        <v>1.KADEME</v>
      </c>
      <c r="I259" s="65">
        <f>IFERROR(VLOOKUP(A259,'Kaizen Listesi'!A:H,8,0),0)</f>
        <v>0</v>
      </c>
      <c r="J259" s="65">
        <f>I259*VLOOKUP($I$2,'Kriter Ağırlık'!$A$1:$B$8,2,0)</f>
        <v>0</v>
      </c>
      <c r="K259" s="65">
        <f>IFERROR(VLOOKUP(A259,'Hata Kartı '!A:H,8,0),0)</f>
        <v>0</v>
      </c>
      <c r="L259" s="65">
        <f>K259*(VLOOKUP($K$2,'Kriter Ağırlık'!$A$1:$B$8,2,0))</f>
        <v>0</v>
      </c>
      <c r="M259" s="65">
        <f>IFERROR(VLOOKUP(F259,'5S'!$B$8:$E$19,4,0),0)</f>
        <v>1</v>
      </c>
      <c r="N259" s="65">
        <f>VLOOKUP(M259,'5S'!$G$8:$I$14,3,1)*VLOOKUP($M$2,'Kriter Ağırlık'!$A$1:$B$8,2,0)*E259*X259</f>
        <v>8</v>
      </c>
      <c r="O259" s="1">
        <f>IFERROR(VLOOKUP(A259,Devamsızlıklar!A:K,10,0),0)</f>
        <v>0</v>
      </c>
      <c r="P259" s="40">
        <f>VLOOKUP(O259,Aralıklar!$A$2:$C$5,3,1)*VLOOKUP($O$2,'Kriter Ağırlık'!$A$1:$B$8,2,0)*E259*X259</f>
        <v>10</v>
      </c>
      <c r="Q259" s="1">
        <f>IFERROR(VLOOKUP(A259,Devamsızlıklar!A:K,8,0),0)</f>
        <v>0</v>
      </c>
      <c r="R259" s="33">
        <f>VLOOKUP(Q259,Aralıklar!$E$2:$G$5,3,1)</f>
        <v>1</v>
      </c>
      <c r="S259" s="33">
        <f>IFERROR(VLOOKUP(A259,Devamsızlıklar!A:K,9,0),0)</f>
        <v>0</v>
      </c>
      <c r="T259" s="33">
        <f>VLOOKUP(S259,Aralıklar!$I$2:$K$6,3,1)</f>
        <v>50</v>
      </c>
      <c r="U259" s="33">
        <f>IFERROR(VLOOKUP(A259,Devamsızlıklar!A:K,11,0),0)</f>
        <v>0</v>
      </c>
      <c r="V259" s="33">
        <f>VLOOKUP(U259,Aralıklar!$M$2:$O$6,3,1)</f>
        <v>50</v>
      </c>
      <c r="W259" s="40">
        <f>IF(X259=0,0,(T259+V259)*R259*VLOOKUP($W$2,'Kriter Ağırlık'!$A$1:$B$8,2,1)*E259)</f>
        <v>10</v>
      </c>
      <c r="X259" s="40">
        <f>IFERROR(VLOOKUP(A259,Devamsızlıklar!A:M,13,0),1)</f>
        <v>1</v>
      </c>
      <c r="Y259" s="40">
        <f>(OEE!$K$6*VLOOKUP($Y$2,'Kriter Ağırlık'!$A$1:$B$8,2,1))*X259*E259</f>
        <v>35</v>
      </c>
      <c r="Z259" s="40">
        <f>(TELEF!$I$10*VLOOKUP($Z$2,'Kriter Ağırlık'!$A$1:$B$8,2,1))*X259*E259</f>
        <v>15</v>
      </c>
      <c r="AA259" s="40">
        <f t="shared" si="24"/>
        <v>78</v>
      </c>
      <c r="AB259" s="1">
        <v>5</v>
      </c>
      <c r="AC259" s="33">
        <f>VLOOKUP(AB259,'Kriter Ağırlık'!$A$12:$C$17,3,0)</f>
        <v>18.5</v>
      </c>
      <c r="AD259" s="1">
        <v>5</v>
      </c>
      <c r="AE259" s="33">
        <f>VLOOKUP(AD259,'Kriter Ağırlık'!$E$12:$G$24,3,0)</f>
        <v>1</v>
      </c>
      <c r="AF259" s="92">
        <f t="shared" si="25"/>
        <v>1443</v>
      </c>
      <c r="AG259" t="str">
        <f>VLOOKUP(A259,'Çalışan Listesi'!A:G,6,0)</f>
        <v>OPERATÖR</v>
      </c>
    </row>
    <row r="260" spans="1:33" x14ac:dyDescent="0.2">
      <c r="A260" s="2">
        <v>5118</v>
      </c>
      <c r="B260" s="3" t="s">
        <v>306</v>
      </c>
      <c r="C260" s="4">
        <v>44452</v>
      </c>
      <c r="D260" s="5">
        <f t="shared" si="22"/>
        <v>90</v>
      </c>
      <c r="E260" s="6">
        <f t="shared" si="23"/>
        <v>1</v>
      </c>
      <c r="F260" s="25" t="s">
        <v>421</v>
      </c>
      <c r="G260" s="3" t="s">
        <v>86</v>
      </c>
      <c r="H260" s="106" t="str">
        <f>VLOOKUP(A260,'Çalışan Listesi'!A:G,7,0)</f>
        <v>1.KADEME</v>
      </c>
      <c r="I260" s="65">
        <f>IFERROR(VLOOKUP(A260,'Kaizen Listesi'!A:H,8,0),0)</f>
        <v>0</v>
      </c>
      <c r="J260" s="65">
        <f>I260*VLOOKUP($I$2,'Kriter Ağırlık'!$A$1:$B$8,2,0)</f>
        <v>0</v>
      </c>
      <c r="K260" s="65">
        <f>IFERROR(VLOOKUP(A260,'Hata Kartı '!A:H,8,0),0)</f>
        <v>16.666666666666668</v>
      </c>
      <c r="L260" s="65">
        <f>K260*(VLOOKUP($K$2,'Kriter Ağırlık'!$A$1:$B$8,2,0))</f>
        <v>1.666666666666667</v>
      </c>
      <c r="M260" s="65">
        <f>IFERROR(VLOOKUP(F260,'5S'!$B$8:$E$19,4,0),0)</f>
        <v>1</v>
      </c>
      <c r="N260" s="65">
        <f>VLOOKUP(M260,'5S'!$G$8:$I$14,3,1)*VLOOKUP($M$2,'Kriter Ağırlık'!$A$1:$B$8,2,0)*E260*X260</f>
        <v>8</v>
      </c>
      <c r="O260" s="1">
        <f>IFERROR(VLOOKUP(A260,Devamsızlıklar!A:K,10,0),0)</f>
        <v>0</v>
      </c>
      <c r="P260" s="40">
        <f>VLOOKUP(O260,Aralıklar!$A$2:$C$5,3,1)*VLOOKUP($O$2,'Kriter Ağırlık'!$A$1:$B$8,2,0)*E260*X260</f>
        <v>10</v>
      </c>
      <c r="Q260" s="1">
        <f>IFERROR(VLOOKUP(A260,Devamsızlıklar!A:K,8,0),0)</f>
        <v>0</v>
      </c>
      <c r="R260" s="33">
        <f>VLOOKUP(Q260,Aralıklar!$E$2:$G$5,3,1)</f>
        <v>1</v>
      </c>
      <c r="S260" s="33">
        <f>IFERROR(VLOOKUP(A260,Devamsızlıklar!A:K,9,0),0)</f>
        <v>0</v>
      </c>
      <c r="T260" s="33">
        <f>VLOOKUP(S260,Aralıklar!$I$2:$K$6,3,1)</f>
        <v>50</v>
      </c>
      <c r="U260" s="33">
        <f>IFERROR(VLOOKUP(A260,Devamsızlıklar!A:K,11,0),0)</f>
        <v>0</v>
      </c>
      <c r="V260" s="33">
        <f>VLOOKUP(U260,Aralıklar!$M$2:$O$6,3,1)</f>
        <v>50</v>
      </c>
      <c r="W260" s="40">
        <f>IF(X260=0,0,(T260+V260)*R260*VLOOKUP($W$2,'Kriter Ağırlık'!$A$1:$B$8,2,1)*E260)</f>
        <v>10</v>
      </c>
      <c r="X260" s="40">
        <f>IFERROR(VLOOKUP(A260,Devamsızlıklar!A:M,13,0),1)</f>
        <v>1</v>
      </c>
      <c r="Y260" s="40">
        <f>(OEE!$K$6*VLOOKUP($Y$2,'Kriter Ağırlık'!$A$1:$B$8,2,1))*X260*E260</f>
        <v>35</v>
      </c>
      <c r="Z260" s="40">
        <f>(TELEF!$I$10*VLOOKUP($Z$2,'Kriter Ağırlık'!$A$1:$B$8,2,1))*X260*E260</f>
        <v>15</v>
      </c>
      <c r="AA260" s="40">
        <f t="shared" si="24"/>
        <v>79.666666666666671</v>
      </c>
      <c r="AB260" s="1">
        <v>5</v>
      </c>
      <c r="AC260" s="33">
        <f>VLOOKUP(AB260,'Kriter Ağırlık'!$A$12:$C$17,3,0)</f>
        <v>18.5</v>
      </c>
      <c r="AD260" s="1">
        <v>5</v>
      </c>
      <c r="AE260" s="33">
        <f>VLOOKUP(AD260,'Kriter Ağırlık'!$E$12:$G$24,3,0)</f>
        <v>1</v>
      </c>
      <c r="AF260" s="92">
        <f t="shared" si="25"/>
        <v>1473.8333333333335</v>
      </c>
      <c r="AG260" t="str">
        <f>VLOOKUP(A260,'Çalışan Listesi'!A:G,6,0)</f>
        <v>OPERATÖR</v>
      </c>
    </row>
    <row r="261" spans="1:33" x14ac:dyDescent="0.2">
      <c r="A261" s="2">
        <v>5125</v>
      </c>
      <c r="B261" s="3" t="s">
        <v>307</v>
      </c>
      <c r="C261" s="4">
        <v>44459</v>
      </c>
      <c r="D261" s="5">
        <f t="shared" si="22"/>
        <v>90</v>
      </c>
      <c r="E261" s="6">
        <f t="shared" si="23"/>
        <v>1</v>
      </c>
      <c r="F261" s="25" t="s">
        <v>421</v>
      </c>
      <c r="G261" s="3" t="s">
        <v>86</v>
      </c>
      <c r="H261" s="106" t="str">
        <f>VLOOKUP(A261,'Çalışan Listesi'!A:G,7,0)</f>
        <v>1.KADEME</v>
      </c>
      <c r="I261" s="65">
        <f>IFERROR(VLOOKUP(A261,'Kaizen Listesi'!A:H,8,0),0)</f>
        <v>0</v>
      </c>
      <c r="J261" s="65">
        <f>I261*VLOOKUP($I$2,'Kriter Ağırlık'!$A$1:$B$8,2,0)</f>
        <v>0</v>
      </c>
      <c r="K261" s="65">
        <f>IFERROR(VLOOKUP(A261,'Hata Kartı '!A:H,8,0),0)</f>
        <v>0</v>
      </c>
      <c r="L261" s="65">
        <f>K261*(VLOOKUP($K$2,'Kriter Ağırlık'!$A$1:$B$8,2,0))</f>
        <v>0</v>
      </c>
      <c r="M261" s="65">
        <f>IFERROR(VLOOKUP(F261,'5S'!$B$8:$E$19,4,0),0)</f>
        <v>1</v>
      </c>
      <c r="N261" s="65">
        <f>VLOOKUP(M261,'5S'!$G$8:$I$14,3,1)*VLOOKUP($M$2,'Kriter Ağırlık'!$A$1:$B$8,2,0)*E261*X261</f>
        <v>7.7333333333333334</v>
      </c>
      <c r="O261" s="76">
        <f>IFERROR(VLOOKUP(A261,Devamsızlıklar!A:K,10,0),0)</f>
        <v>0</v>
      </c>
      <c r="P261" s="40">
        <f>VLOOKUP(O261,Aralıklar!$A$2:$C$5,3,1)*VLOOKUP($O$2,'Kriter Ağırlık'!$A$1:$B$8,2,0)*E261*X261</f>
        <v>9.6666666666666661</v>
      </c>
      <c r="Q261" s="76">
        <f>IFERROR(VLOOKUP(A261,Devamsızlıklar!A:K,8,0),0)</f>
        <v>0</v>
      </c>
      <c r="R261" s="76">
        <f>VLOOKUP(Q261,Aralıklar!$E$2:$G$5,3,1)</f>
        <v>1</v>
      </c>
      <c r="S261" s="76">
        <f>IFERROR(VLOOKUP(A261,Devamsızlıklar!A:K,9,0),0)</f>
        <v>3</v>
      </c>
      <c r="T261" s="76">
        <f>VLOOKUP(S261,Aralıklar!$I$2:$K$6,3,1)</f>
        <v>50</v>
      </c>
      <c r="U261" s="76">
        <f>IFERROR(VLOOKUP(A261,Devamsızlıklar!A:K,11,0),0)</f>
        <v>0</v>
      </c>
      <c r="V261" s="76">
        <f>VLOOKUP(U261,Aralıklar!$M$2:$O$6,3,1)</f>
        <v>50</v>
      </c>
      <c r="W261" s="40">
        <f>IF(X261=0,0,(T261+V261)*R261*VLOOKUP($W$2,'Kriter Ağırlık'!$A$1:$B$8,2,1)*E261)</f>
        <v>10</v>
      </c>
      <c r="X261" s="40">
        <f>IFERROR(VLOOKUP(A261,Devamsızlıklar!A:M,13,0),1)</f>
        <v>0.96666666666666667</v>
      </c>
      <c r="Y261" s="40">
        <f>(OEE!$K$6*VLOOKUP($Y$2,'Kriter Ağırlık'!$A$1:$B$8,2,1))*X261*E261</f>
        <v>33.833333333333336</v>
      </c>
      <c r="Z261" s="40">
        <f>(TELEF!$I$10*VLOOKUP($Z$2,'Kriter Ağırlık'!$A$1:$B$8,2,1))*X261*E261</f>
        <v>14.5</v>
      </c>
      <c r="AA261" s="40">
        <f t="shared" si="24"/>
        <v>75.733333333333334</v>
      </c>
      <c r="AB261" s="76">
        <v>5</v>
      </c>
      <c r="AC261" s="76">
        <f>VLOOKUP(AB261,'Kriter Ağırlık'!$A$12:$C$17,3,0)</f>
        <v>18.5</v>
      </c>
      <c r="AD261" s="76">
        <v>5</v>
      </c>
      <c r="AE261" s="76">
        <f>VLOOKUP(AD261,'Kriter Ağırlık'!$E$12:$G$24,3,0)</f>
        <v>1</v>
      </c>
      <c r="AF261" s="92">
        <f t="shared" si="25"/>
        <v>1401.0666666666666</v>
      </c>
      <c r="AG261" t="str">
        <f>VLOOKUP(A261,'Çalışan Listesi'!A:G,6,0)</f>
        <v>OPERATÖR</v>
      </c>
    </row>
    <row r="262" spans="1:33" x14ac:dyDescent="0.2">
      <c r="A262" s="2">
        <v>5126</v>
      </c>
      <c r="B262" s="3" t="s">
        <v>308</v>
      </c>
      <c r="C262" s="4">
        <v>44459</v>
      </c>
      <c r="D262" s="5">
        <f t="shared" si="22"/>
        <v>90</v>
      </c>
      <c r="E262" s="6">
        <f t="shared" si="23"/>
        <v>1</v>
      </c>
      <c r="F262" s="25" t="s">
        <v>421</v>
      </c>
      <c r="G262" s="3" t="s">
        <v>86</v>
      </c>
      <c r="H262" s="106" t="str">
        <f>VLOOKUP(A262,'Çalışan Listesi'!A:G,7,0)</f>
        <v>1.KADEME</v>
      </c>
      <c r="I262" s="65">
        <f>IFERROR(VLOOKUP(A262,'Kaizen Listesi'!A:H,8,0),0)</f>
        <v>0</v>
      </c>
      <c r="J262" s="65">
        <f>I262*VLOOKUP($I$2,'Kriter Ağırlık'!$A$1:$B$8,2,0)</f>
        <v>0</v>
      </c>
      <c r="K262" s="65">
        <f>IFERROR(VLOOKUP(A262,'Hata Kartı '!A:H,8,0),0)</f>
        <v>0</v>
      </c>
      <c r="L262" s="65">
        <f>K262*(VLOOKUP($K$2,'Kriter Ağırlık'!$A$1:$B$8,2,0))</f>
        <v>0</v>
      </c>
      <c r="M262" s="65">
        <f>IFERROR(VLOOKUP(F262,'5S'!$B$8:$E$19,4,0),0)</f>
        <v>1</v>
      </c>
      <c r="N262" s="65">
        <f>VLOOKUP(M262,'5S'!$G$8:$I$14,3,1)*VLOOKUP($M$2,'Kriter Ağırlık'!$A$1:$B$8,2,0)*E262*X262</f>
        <v>8</v>
      </c>
      <c r="O262" s="1">
        <f>IFERROR(VLOOKUP(A262,Devamsızlıklar!A:K,10,0),0)</f>
        <v>0</v>
      </c>
      <c r="P262" s="40">
        <f>VLOOKUP(O262,Aralıklar!$A$2:$C$5,3,1)*VLOOKUP($O$2,'Kriter Ağırlık'!$A$1:$B$8,2,0)*E262*X262</f>
        <v>10</v>
      </c>
      <c r="Q262" s="1">
        <f>IFERROR(VLOOKUP(A262,Devamsızlıklar!A:K,8,0),0)</f>
        <v>0</v>
      </c>
      <c r="R262" s="33">
        <f>VLOOKUP(Q262,Aralıklar!$E$2:$G$5,3,1)</f>
        <v>1</v>
      </c>
      <c r="S262" s="33">
        <f>IFERROR(VLOOKUP(A262,Devamsızlıklar!A:K,9,0),0)</f>
        <v>0</v>
      </c>
      <c r="T262" s="33">
        <f>VLOOKUP(S262,Aralıklar!$I$2:$K$6,3,1)</f>
        <v>50</v>
      </c>
      <c r="U262" s="33">
        <f>IFERROR(VLOOKUP(A262,Devamsızlıklar!A:K,11,0),0)</f>
        <v>0</v>
      </c>
      <c r="V262" s="33">
        <f>VLOOKUP(U262,Aralıklar!$M$2:$O$6,3,1)</f>
        <v>50</v>
      </c>
      <c r="W262" s="40">
        <f>IF(X262=0,0,(T262+V262)*R262*VLOOKUP($W$2,'Kriter Ağırlık'!$A$1:$B$8,2,1)*E262)</f>
        <v>10</v>
      </c>
      <c r="X262" s="40">
        <f>IFERROR(VLOOKUP(A262,Devamsızlıklar!A:M,13,0),1)</f>
        <v>1</v>
      </c>
      <c r="Y262" s="40">
        <f>(OEE!$K$6*VLOOKUP($Y$2,'Kriter Ağırlık'!$A$1:$B$8,2,1))*X262*E262</f>
        <v>35</v>
      </c>
      <c r="Z262" s="40">
        <f>(TELEF!$I$10*VLOOKUP($Z$2,'Kriter Ağırlık'!$A$1:$B$8,2,1))*X262*E262</f>
        <v>15</v>
      </c>
      <c r="AA262" s="40">
        <f t="shared" si="24"/>
        <v>78</v>
      </c>
      <c r="AB262" s="1">
        <v>5</v>
      </c>
      <c r="AC262" s="33">
        <f>VLOOKUP(AB262,'Kriter Ağırlık'!$A$12:$C$17,3,0)</f>
        <v>18.5</v>
      </c>
      <c r="AD262" s="1">
        <v>5</v>
      </c>
      <c r="AE262" s="33">
        <f>VLOOKUP(AD262,'Kriter Ağırlık'!$E$12:$G$24,3,0)</f>
        <v>1</v>
      </c>
      <c r="AF262" s="92">
        <f t="shared" si="25"/>
        <v>1443</v>
      </c>
      <c r="AG262" t="str">
        <f>VLOOKUP(A262,'Çalışan Listesi'!A:G,6,0)</f>
        <v>OPERATÖR</v>
      </c>
    </row>
    <row r="263" spans="1:33" x14ac:dyDescent="0.2">
      <c r="A263" s="2">
        <v>5127</v>
      </c>
      <c r="B263" s="3" t="s">
        <v>309</v>
      </c>
      <c r="C263" s="4">
        <v>44459</v>
      </c>
      <c r="D263" s="5">
        <f t="shared" si="22"/>
        <v>90</v>
      </c>
      <c r="E263" s="6">
        <f t="shared" si="23"/>
        <v>1</v>
      </c>
      <c r="F263" s="25" t="s">
        <v>421</v>
      </c>
      <c r="G263" s="3" t="s">
        <v>86</v>
      </c>
      <c r="H263" s="106" t="str">
        <f>VLOOKUP(A263,'Çalışan Listesi'!A:G,7,0)</f>
        <v>1.KADEME</v>
      </c>
      <c r="I263" s="65">
        <f>IFERROR(VLOOKUP(A263,'Kaizen Listesi'!A:H,8,0),0)</f>
        <v>0</v>
      </c>
      <c r="J263" s="65">
        <f>I263*VLOOKUP($I$2,'Kriter Ağırlık'!$A$1:$B$8,2,0)</f>
        <v>0</v>
      </c>
      <c r="K263" s="65">
        <f>IFERROR(VLOOKUP(A263,'Hata Kartı '!A:H,8,0),0)</f>
        <v>16.666666666666668</v>
      </c>
      <c r="L263" s="65">
        <f>K263*(VLOOKUP($K$2,'Kriter Ağırlık'!$A$1:$B$8,2,0))</f>
        <v>1.666666666666667</v>
      </c>
      <c r="M263" s="65">
        <f>IFERROR(VLOOKUP(F263,'5S'!$B$8:$E$19,4,0),0)</f>
        <v>1</v>
      </c>
      <c r="N263" s="65">
        <f>VLOOKUP(M263,'5S'!$G$8:$I$14,3,1)*VLOOKUP($M$2,'Kriter Ağırlık'!$A$1:$B$8,2,0)*E263*X263</f>
        <v>8</v>
      </c>
      <c r="O263" s="1">
        <f>IFERROR(VLOOKUP(A263,Devamsızlıklar!A:K,10,0),0)</f>
        <v>0</v>
      </c>
      <c r="P263" s="40">
        <f>VLOOKUP(O263,Aralıklar!$A$2:$C$5,3,1)*VLOOKUP($O$2,'Kriter Ağırlık'!$A$1:$B$8,2,0)*E263*X263</f>
        <v>10</v>
      </c>
      <c r="Q263" s="1">
        <f>IFERROR(VLOOKUP(A263,Devamsızlıklar!A:K,8,0),0)</f>
        <v>0</v>
      </c>
      <c r="R263" s="33">
        <f>VLOOKUP(Q263,Aralıklar!$E$2:$G$5,3,1)</f>
        <v>1</v>
      </c>
      <c r="S263" s="33">
        <f>IFERROR(VLOOKUP(A263,Devamsızlıklar!A:K,9,0),0)</f>
        <v>0</v>
      </c>
      <c r="T263" s="33">
        <f>VLOOKUP(S263,Aralıklar!$I$2:$K$6,3,1)</f>
        <v>50</v>
      </c>
      <c r="U263" s="33">
        <f>IFERROR(VLOOKUP(A263,Devamsızlıklar!A:K,11,0),0)</f>
        <v>0</v>
      </c>
      <c r="V263" s="33">
        <f>VLOOKUP(U263,Aralıklar!$M$2:$O$6,3,1)</f>
        <v>50</v>
      </c>
      <c r="W263" s="40">
        <f>IF(X263=0,0,(T263+V263)*R263*VLOOKUP($W$2,'Kriter Ağırlık'!$A$1:$B$8,2,1)*E263)</f>
        <v>10</v>
      </c>
      <c r="X263" s="40">
        <f>IFERROR(VLOOKUP(A263,Devamsızlıklar!A:M,13,0),1)</f>
        <v>1</v>
      </c>
      <c r="Y263" s="40">
        <f>(OEE!$K$6*VLOOKUP($Y$2,'Kriter Ağırlık'!$A$1:$B$8,2,1))*X263*E263</f>
        <v>35</v>
      </c>
      <c r="Z263" s="40">
        <f>(TELEF!$I$10*VLOOKUP($Z$2,'Kriter Ağırlık'!$A$1:$B$8,2,1))*X263*E263</f>
        <v>15</v>
      </c>
      <c r="AA263" s="40">
        <f t="shared" si="24"/>
        <v>79.666666666666671</v>
      </c>
      <c r="AB263" s="1">
        <v>5</v>
      </c>
      <c r="AC263" s="33">
        <f>VLOOKUP(AB263,'Kriter Ağırlık'!$A$12:$C$17,3,0)</f>
        <v>18.5</v>
      </c>
      <c r="AD263" s="1">
        <v>5</v>
      </c>
      <c r="AE263" s="33">
        <f>VLOOKUP(AD263,'Kriter Ağırlık'!$E$12:$G$24,3,0)</f>
        <v>1</v>
      </c>
      <c r="AF263" s="92">
        <f t="shared" si="25"/>
        <v>1473.8333333333335</v>
      </c>
      <c r="AG263" t="str">
        <f>VLOOKUP(A263,'Çalışan Listesi'!A:G,6,0)</f>
        <v>OPERATÖR</v>
      </c>
    </row>
    <row r="264" spans="1:33" x14ac:dyDescent="0.2">
      <c r="A264" s="2">
        <v>5129</v>
      </c>
      <c r="B264" s="3" t="s">
        <v>310</v>
      </c>
      <c r="C264" s="4">
        <v>44459</v>
      </c>
      <c r="D264" s="5">
        <f t="shared" si="22"/>
        <v>90</v>
      </c>
      <c r="E264" s="6">
        <f t="shared" si="23"/>
        <v>1</v>
      </c>
      <c r="F264" s="25" t="s">
        <v>422</v>
      </c>
      <c r="G264" s="3" t="s">
        <v>54</v>
      </c>
      <c r="H264" s="106" t="str">
        <f>VLOOKUP(A264,'Çalışan Listesi'!A:G,7,0)</f>
        <v>1.KADEME</v>
      </c>
      <c r="I264" s="65">
        <f>IFERROR(VLOOKUP(A264,'Kaizen Listesi'!A:H,8,0),0)</f>
        <v>0</v>
      </c>
      <c r="J264" s="65">
        <f>I264*VLOOKUP($I$2,'Kriter Ağırlık'!$A$1:$B$8,2,0)</f>
        <v>0</v>
      </c>
      <c r="K264" s="65">
        <f>IFERROR(VLOOKUP(A264,'Hata Kartı '!A:H,8,0),0)</f>
        <v>0</v>
      </c>
      <c r="L264" s="65">
        <f>K264*(VLOOKUP($K$2,'Kriter Ağırlık'!$A$1:$B$8,2,0))</f>
        <v>0</v>
      </c>
      <c r="M264" s="65">
        <f>IFERROR(VLOOKUP(F264,'5S'!$B$8:$E$19,4,0),0)</f>
        <v>1</v>
      </c>
      <c r="N264" s="65">
        <f>VLOOKUP(M264,'5S'!$G$8:$I$14,3,1)*VLOOKUP($M$2,'Kriter Ağırlık'!$A$1:$B$8,2,0)*E264*X264</f>
        <v>7.5555555555555554</v>
      </c>
      <c r="O264" s="1">
        <f>IFERROR(VLOOKUP(A264,Devamsızlıklar!A:K,10,0),0)</f>
        <v>0</v>
      </c>
      <c r="P264" s="40">
        <f>VLOOKUP(O264,Aralıklar!$A$2:$C$5,3,1)*VLOOKUP($O$2,'Kriter Ağırlık'!$A$1:$B$8,2,0)*E264*X264</f>
        <v>9.4444444444444446</v>
      </c>
      <c r="Q264" s="1">
        <f>IFERROR(VLOOKUP(A264,Devamsızlıklar!A:K,8,0),0)</f>
        <v>0</v>
      </c>
      <c r="R264" s="33">
        <f>VLOOKUP(Q264,Aralıklar!$E$2:$G$5,3,1)</f>
        <v>1</v>
      </c>
      <c r="S264" s="33">
        <f>IFERROR(VLOOKUP(A264,Devamsızlıklar!A:K,9,0),0)</f>
        <v>0</v>
      </c>
      <c r="T264" s="33">
        <f>VLOOKUP(S264,Aralıklar!$I$2:$K$6,3,1)</f>
        <v>50</v>
      </c>
      <c r="U264" s="33">
        <f>IFERROR(VLOOKUP(A264,Devamsızlıklar!A:K,11,0),0)</f>
        <v>0</v>
      </c>
      <c r="V264" s="33">
        <f>VLOOKUP(U264,Aralıklar!$M$2:$O$6,3,1)</f>
        <v>50</v>
      </c>
      <c r="W264" s="40">
        <f>IF(X264=0,0,(T264+V264)*R264*VLOOKUP($W$2,'Kriter Ağırlık'!$A$1:$B$8,2,1)*E264)</f>
        <v>10</v>
      </c>
      <c r="X264" s="40">
        <f>IFERROR(VLOOKUP(A264,Devamsızlıklar!A:M,13,0),1)</f>
        <v>0.94444444444444442</v>
      </c>
      <c r="Y264" s="40">
        <f>(OEE!$K$6*VLOOKUP($Y$2,'Kriter Ağırlık'!$A$1:$B$8,2,1))*X264*E264</f>
        <v>33.055555555555557</v>
      </c>
      <c r="Z264" s="40">
        <f>(TELEF!$I$10*VLOOKUP($Z$2,'Kriter Ağırlık'!$A$1:$B$8,2,1))*X264*E264</f>
        <v>14.166666666666666</v>
      </c>
      <c r="AA264" s="40">
        <f t="shared" si="24"/>
        <v>74.222222222222229</v>
      </c>
      <c r="AB264" s="1">
        <v>5</v>
      </c>
      <c r="AC264" s="33">
        <f>VLOOKUP(AB264,'Kriter Ağırlık'!$A$12:$C$17,3,0)</f>
        <v>18.5</v>
      </c>
      <c r="AD264" s="1">
        <v>5</v>
      </c>
      <c r="AE264" s="33">
        <f>VLOOKUP(AD264,'Kriter Ağırlık'!$E$12:$G$24,3,0)</f>
        <v>1</v>
      </c>
      <c r="AF264" s="92">
        <f t="shared" si="25"/>
        <v>1373.1111111111113</v>
      </c>
      <c r="AG264" t="str">
        <f>VLOOKUP(A264,'Çalışan Listesi'!A:G,6,0)</f>
        <v>OPERATÖR</v>
      </c>
    </row>
    <row r="265" spans="1:33" x14ac:dyDescent="0.2">
      <c r="A265" s="2">
        <v>5132</v>
      </c>
      <c r="B265" s="3" t="s">
        <v>311</v>
      </c>
      <c r="C265" s="4">
        <v>44466</v>
      </c>
      <c r="D265" s="5">
        <f t="shared" si="22"/>
        <v>90</v>
      </c>
      <c r="E265" s="6">
        <f t="shared" si="23"/>
        <v>1</v>
      </c>
      <c r="F265" s="25" t="s">
        <v>426</v>
      </c>
      <c r="G265" s="3" t="s">
        <v>549</v>
      </c>
      <c r="H265" s="106" t="str">
        <f>VLOOKUP(A265,'Çalışan Listesi'!A:G,7,0)</f>
        <v>1.KADEME</v>
      </c>
      <c r="I265" s="65">
        <f>IFERROR(VLOOKUP(A265,'Kaizen Listesi'!A:H,8,0),0)</f>
        <v>0</v>
      </c>
      <c r="J265" s="65">
        <f>I265*VLOOKUP($I$2,'Kriter Ağırlık'!$A$1:$B$8,2,0)</f>
        <v>0</v>
      </c>
      <c r="K265" s="65">
        <f>IFERROR(VLOOKUP(A265,'Hata Kartı '!A:H,8,0),0)</f>
        <v>33.333333333333336</v>
      </c>
      <c r="L265" s="65">
        <f>K265*(VLOOKUP($K$2,'Kriter Ağırlık'!$A$1:$B$8,2,0))</f>
        <v>3.3333333333333339</v>
      </c>
      <c r="M265" s="65">
        <f>IFERROR(VLOOKUP(F265,'5S'!$B$8:$E$19,4,0),0)</f>
        <v>1</v>
      </c>
      <c r="N265" s="65">
        <f>VLOOKUP(M265,'5S'!$G$8:$I$14,3,1)*VLOOKUP($M$2,'Kriter Ağırlık'!$A$1:$B$8,2,0)*E265*X265</f>
        <v>7.0222222222222221</v>
      </c>
      <c r="O265" s="1">
        <f>IFERROR(VLOOKUP(A265,Devamsızlıklar!A:K,10,0),0)</f>
        <v>0</v>
      </c>
      <c r="P265" s="40">
        <f>VLOOKUP(O265,Aralıklar!$A$2:$C$5,3,1)*VLOOKUP($O$2,'Kriter Ağırlık'!$A$1:$B$8,2,0)*E265*X265</f>
        <v>8.7777777777777786</v>
      </c>
      <c r="Q265" s="1">
        <f>IFERROR(VLOOKUP(A265,Devamsızlıklar!A:K,8,0),0)</f>
        <v>0</v>
      </c>
      <c r="R265" s="33">
        <f>VLOOKUP(Q265,Aralıklar!$E$2:$G$5,3,1)</f>
        <v>1</v>
      </c>
      <c r="S265" s="33">
        <f>IFERROR(VLOOKUP(A265,Devamsızlıklar!A:K,9,0),0)</f>
        <v>3</v>
      </c>
      <c r="T265" s="33">
        <f>VLOOKUP(S265,Aralıklar!$I$2:$K$6,3,1)</f>
        <v>50</v>
      </c>
      <c r="U265" s="33">
        <f>IFERROR(VLOOKUP(A265,Devamsızlıklar!A:K,11,0),0)</f>
        <v>1</v>
      </c>
      <c r="V265" s="33">
        <f>VLOOKUP(U265,Aralıklar!$M$2:$O$6,3,1)</f>
        <v>50</v>
      </c>
      <c r="W265" s="40">
        <f>IF(X265=0,0,(T265+V265)*R265*VLOOKUP($W$2,'Kriter Ağırlık'!$A$1:$B$8,2,1)*E265)</f>
        <v>10</v>
      </c>
      <c r="X265" s="40">
        <f>IFERROR(VLOOKUP(A265,Devamsızlıklar!A:M,13,0),1)</f>
        <v>0.87777777777777777</v>
      </c>
      <c r="Y265" s="40">
        <f>(OEE!$K$6*VLOOKUP($Y$2,'Kriter Ağırlık'!$A$1:$B$8,2,1))*X265*E265</f>
        <v>30.722222222222221</v>
      </c>
      <c r="Z265" s="40">
        <f>(TELEF!$I$10*VLOOKUP($Z$2,'Kriter Ağırlık'!$A$1:$B$8,2,1))*X265*E265</f>
        <v>13.166666666666666</v>
      </c>
      <c r="AA265" s="40">
        <f t="shared" si="24"/>
        <v>73.022222222222226</v>
      </c>
      <c r="AB265" s="1">
        <v>5</v>
      </c>
      <c r="AC265" s="33">
        <f>VLOOKUP(AB265,'Kriter Ağırlık'!$A$12:$C$17,3,0)</f>
        <v>18.5</v>
      </c>
      <c r="AD265" s="1">
        <v>5</v>
      </c>
      <c r="AE265" s="33">
        <f>VLOOKUP(AD265,'Kriter Ağırlık'!$E$12:$G$24,3,0)</f>
        <v>1</v>
      </c>
      <c r="AF265" s="92">
        <f t="shared" si="25"/>
        <v>1350.9111111111113</v>
      </c>
      <c r="AG265" t="str">
        <f>VLOOKUP(A265,'Çalışan Listesi'!A:G,6,0)</f>
        <v>OPERATÖR</v>
      </c>
    </row>
    <row r="266" spans="1:33" x14ac:dyDescent="0.2">
      <c r="A266" s="2">
        <v>5164</v>
      </c>
      <c r="B266" s="3" t="s">
        <v>312</v>
      </c>
      <c r="C266" s="4">
        <v>44494</v>
      </c>
      <c r="D266" s="5">
        <f t="shared" si="22"/>
        <v>90</v>
      </c>
      <c r="E266" s="6">
        <f t="shared" si="23"/>
        <v>1</v>
      </c>
      <c r="F266" s="25" t="s">
        <v>429</v>
      </c>
      <c r="G266" s="3" t="s">
        <v>46</v>
      </c>
      <c r="H266" s="106" t="str">
        <f>VLOOKUP(A266,'Çalışan Listesi'!A:G,7,0)</f>
        <v>1.KADEME</v>
      </c>
      <c r="I266" s="65">
        <f>IFERROR(VLOOKUP(A266,'Kaizen Listesi'!A:H,8,0),0)</f>
        <v>0</v>
      </c>
      <c r="J266" s="65">
        <f>I266*VLOOKUP($I$2,'Kriter Ağırlık'!$A$1:$B$8,2,0)</f>
        <v>0</v>
      </c>
      <c r="K266" s="65">
        <f>IFERROR(VLOOKUP(A266,'Hata Kartı '!A:H,8,0),0)</f>
        <v>0</v>
      </c>
      <c r="L266" s="65">
        <f>K266*(VLOOKUP($K$2,'Kriter Ağırlık'!$A$1:$B$8,2,0))</f>
        <v>0</v>
      </c>
      <c r="M266" s="65">
        <f>IFERROR(VLOOKUP(F266,'5S'!$B$8:$E$19,4,0),0)</f>
        <v>1</v>
      </c>
      <c r="N266" s="65">
        <f>VLOOKUP(M266,'5S'!$G$8:$I$14,3,1)*VLOOKUP($M$2,'Kriter Ağırlık'!$A$1:$B$8,2,0)*E266*X266</f>
        <v>7.9111111111111114</v>
      </c>
      <c r="O266" s="1">
        <f>IFERROR(VLOOKUP(A266,Devamsızlıklar!A:K,10,0),0)</f>
        <v>0</v>
      </c>
      <c r="P266" s="40">
        <f>VLOOKUP(O266,Aralıklar!$A$2:$C$5,3,1)*VLOOKUP($O$2,'Kriter Ağırlık'!$A$1:$B$8,2,0)*E266*X266</f>
        <v>9.8888888888888893</v>
      </c>
      <c r="Q266" s="1">
        <f>IFERROR(VLOOKUP(A266,Devamsızlıklar!A:K,8,0),0)</f>
        <v>0</v>
      </c>
      <c r="R266" s="33">
        <f>VLOOKUP(Q266,Aralıklar!$E$2:$G$5,3,1)</f>
        <v>1</v>
      </c>
      <c r="S266" s="33">
        <f>IFERROR(VLOOKUP(A266,Devamsızlıklar!A:K,9,0),0)</f>
        <v>0</v>
      </c>
      <c r="T266" s="33">
        <f>VLOOKUP(S266,Aralıklar!$I$2:$K$6,3,1)</f>
        <v>50</v>
      </c>
      <c r="U266" s="33">
        <f>IFERROR(VLOOKUP(A266,Devamsızlıklar!A:K,11,0),0)</f>
        <v>1</v>
      </c>
      <c r="V266" s="33">
        <f>VLOOKUP(U266,Aralıklar!$M$2:$O$6,3,1)</f>
        <v>50</v>
      </c>
      <c r="W266" s="40">
        <f>IF(X266=0,0,(T266+V266)*R266*VLOOKUP($W$2,'Kriter Ağırlık'!$A$1:$B$8,2,1)*E266)</f>
        <v>10</v>
      </c>
      <c r="X266" s="40">
        <f>IFERROR(VLOOKUP(A266,Devamsızlıklar!A:M,13,0),1)</f>
        <v>0.98888888888888893</v>
      </c>
      <c r="Y266" s="40">
        <f>(OEE!$K$6*VLOOKUP($Y$2,'Kriter Ağırlık'!$A$1:$B$8,2,1))*X266*E266</f>
        <v>34.611111111111114</v>
      </c>
      <c r="Z266" s="40">
        <f>(TELEF!$I$10*VLOOKUP($Z$2,'Kriter Ağırlık'!$A$1:$B$8,2,1))*X266*E266</f>
        <v>14.833333333333334</v>
      </c>
      <c r="AA266" s="40">
        <f t="shared" si="24"/>
        <v>77.24444444444444</v>
      </c>
      <c r="AB266" s="1">
        <v>5</v>
      </c>
      <c r="AC266" s="33">
        <f>VLOOKUP(AB266,'Kriter Ağırlık'!$A$12:$C$17,3,0)</f>
        <v>18.5</v>
      </c>
      <c r="AD266" s="1">
        <v>5</v>
      </c>
      <c r="AE266" s="33">
        <f>VLOOKUP(AD266,'Kriter Ağırlık'!$E$12:$G$24,3,0)</f>
        <v>1</v>
      </c>
      <c r="AF266" s="92">
        <f t="shared" si="25"/>
        <v>1429.0222222222221</v>
      </c>
      <c r="AG266" t="str">
        <f>VLOOKUP(A266,'Çalışan Listesi'!A:G,6,0)</f>
        <v>OPERATÖR</v>
      </c>
    </row>
    <row r="267" spans="1:33" x14ac:dyDescent="0.2">
      <c r="A267" s="2">
        <v>5175</v>
      </c>
      <c r="B267" s="3" t="s">
        <v>313</v>
      </c>
      <c r="C267" s="4">
        <v>44508</v>
      </c>
      <c r="D267" s="5">
        <f t="shared" si="22"/>
        <v>90</v>
      </c>
      <c r="E267" s="6">
        <f t="shared" si="23"/>
        <v>1</v>
      </c>
      <c r="F267" s="25" t="s">
        <v>426</v>
      </c>
      <c r="G267" s="3" t="s">
        <v>158</v>
      </c>
      <c r="H267" s="106" t="str">
        <f>VLOOKUP(A267,'Çalışan Listesi'!A:G,7,0)</f>
        <v>1.KADEME</v>
      </c>
      <c r="I267" s="65">
        <f>IFERROR(VLOOKUP(A267,'Kaizen Listesi'!A:H,8,0),0)</f>
        <v>0</v>
      </c>
      <c r="J267" s="65">
        <f>I267*VLOOKUP($I$2,'Kriter Ağırlık'!$A$1:$B$8,2,0)</f>
        <v>0</v>
      </c>
      <c r="K267" s="65">
        <f>IFERROR(VLOOKUP(A267,'Hata Kartı '!A:H,8,0),0)</f>
        <v>16.666666666666668</v>
      </c>
      <c r="L267" s="65">
        <f>K267*(VLOOKUP($K$2,'Kriter Ağırlık'!$A$1:$B$8,2,0))</f>
        <v>1.666666666666667</v>
      </c>
      <c r="M267" s="65">
        <f>IFERROR(VLOOKUP(F267,'5S'!$B$8:$E$19,4,0),0)</f>
        <v>1</v>
      </c>
      <c r="N267" s="65">
        <f>VLOOKUP(M267,'5S'!$G$8:$I$14,3,1)*VLOOKUP($M$2,'Kriter Ağırlık'!$A$1:$B$8,2,0)*E267*X267</f>
        <v>7.822222222222222</v>
      </c>
      <c r="O267" s="1">
        <f>IFERROR(VLOOKUP(A267,Devamsızlıklar!A:K,10,0),0)</f>
        <v>0</v>
      </c>
      <c r="P267" s="40">
        <f>VLOOKUP(O267,Aralıklar!$A$2:$C$5,3,1)*VLOOKUP($O$2,'Kriter Ağırlık'!$A$1:$B$8,2,0)*E267*X267</f>
        <v>9.7777777777777768</v>
      </c>
      <c r="Q267" s="1">
        <f>IFERROR(VLOOKUP(A267,Devamsızlıklar!A:K,8,0),0)</f>
        <v>0</v>
      </c>
      <c r="R267" s="33">
        <f>VLOOKUP(Q267,Aralıklar!$E$2:$G$5,3,1)</f>
        <v>1</v>
      </c>
      <c r="S267" s="33">
        <f>IFERROR(VLOOKUP(A267,Devamsızlıklar!A:K,9,0),0)</f>
        <v>0</v>
      </c>
      <c r="T267" s="33">
        <f>VLOOKUP(S267,Aralıklar!$I$2:$K$6,3,1)</f>
        <v>50</v>
      </c>
      <c r="U267" s="33">
        <f>IFERROR(VLOOKUP(A267,Devamsızlıklar!A:K,11,0),0)</f>
        <v>2</v>
      </c>
      <c r="V267" s="33">
        <f>VLOOKUP(U267,Aralıklar!$M$2:$O$6,3,1)</f>
        <v>25</v>
      </c>
      <c r="W267" s="40">
        <f>IF(X267=0,0,(T267+V267)*R267*VLOOKUP($W$2,'Kriter Ağırlık'!$A$1:$B$8,2,1)*E267)</f>
        <v>7.5</v>
      </c>
      <c r="X267" s="40">
        <f>IFERROR(VLOOKUP(A267,Devamsızlıklar!A:M,13,0),1)</f>
        <v>0.97777777777777775</v>
      </c>
      <c r="Y267" s="40">
        <f>(OEE!$K$6*VLOOKUP($Y$2,'Kriter Ağırlık'!$A$1:$B$8,2,1))*X267*E267</f>
        <v>34.222222222222221</v>
      </c>
      <c r="Z267" s="40">
        <f>(TELEF!$I$10*VLOOKUP($Z$2,'Kriter Ağırlık'!$A$1:$B$8,2,1))*X267*E267</f>
        <v>14.666666666666666</v>
      </c>
      <c r="AA267" s="40">
        <f t="shared" si="24"/>
        <v>75.655555555555551</v>
      </c>
      <c r="AB267" s="1">
        <v>5</v>
      </c>
      <c r="AC267" s="33">
        <f>VLOOKUP(AB267,'Kriter Ağırlık'!$A$12:$C$17,3,0)</f>
        <v>18.5</v>
      </c>
      <c r="AD267" s="1">
        <v>5</v>
      </c>
      <c r="AE267" s="33">
        <f>VLOOKUP(AD267,'Kriter Ağırlık'!$E$12:$G$24,3,0)</f>
        <v>1</v>
      </c>
      <c r="AF267" s="92">
        <f t="shared" si="25"/>
        <v>1399.6277777777777</v>
      </c>
      <c r="AG267" t="str">
        <f>VLOOKUP(A267,'Çalışan Listesi'!A:G,6,0)</f>
        <v>OPERATÖR</v>
      </c>
    </row>
    <row r="268" spans="1:33" x14ac:dyDescent="0.2">
      <c r="A268" s="2">
        <v>5176</v>
      </c>
      <c r="B268" s="3" t="s">
        <v>314</v>
      </c>
      <c r="C268" s="4">
        <v>44508</v>
      </c>
      <c r="D268" s="5">
        <f t="shared" si="22"/>
        <v>90</v>
      </c>
      <c r="E268" s="6">
        <f t="shared" si="23"/>
        <v>1</v>
      </c>
      <c r="F268" s="25" t="s">
        <v>421</v>
      </c>
      <c r="G268" s="3" t="s">
        <v>86</v>
      </c>
      <c r="H268" s="106" t="str">
        <f>VLOOKUP(A268,'Çalışan Listesi'!A:G,7,0)</f>
        <v>1.KADEME</v>
      </c>
      <c r="I268" s="65">
        <f>IFERROR(VLOOKUP(A268,'Kaizen Listesi'!A:H,8,0),0)</f>
        <v>0</v>
      </c>
      <c r="J268" s="65">
        <f>I268*VLOOKUP($I$2,'Kriter Ağırlık'!$A$1:$B$8,2,0)</f>
        <v>0</v>
      </c>
      <c r="K268" s="65">
        <f>IFERROR(VLOOKUP(A268,'Hata Kartı '!A:H,8,0),0)</f>
        <v>0</v>
      </c>
      <c r="L268" s="65">
        <f>K268*(VLOOKUP($K$2,'Kriter Ağırlık'!$A$1:$B$8,2,0))</f>
        <v>0</v>
      </c>
      <c r="M268" s="65">
        <f>IFERROR(VLOOKUP(F268,'5S'!$B$8:$E$19,4,0),0)</f>
        <v>1</v>
      </c>
      <c r="N268" s="65">
        <f>VLOOKUP(M268,'5S'!$G$8:$I$14,3,1)*VLOOKUP($M$2,'Kriter Ağırlık'!$A$1:$B$8,2,0)*E268*X268</f>
        <v>7.7333333333333334</v>
      </c>
      <c r="O268" s="1">
        <f>IFERROR(VLOOKUP(A268,Devamsızlıklar!A:K,10,0),0)</f>
        <v>0</v>
      </c>
      <c r="P268" s="40">
        <f>VLOOKUP(O268,Aralıklar!$A$2:$C$5,3,1)*VLOOKUP($O$2,'Kriter Ağırlık'!$A$1:$B$8,2,0)*E268*X268</f>
        <v>9.6666666666666661</v>
      </c>
      <c r="Q268" s="1">
        <f>IFERROR(VLOOKUP(A268,Devamsızlıklar!A:K,8,0),0)</f>
        <v>0</v>
      </c>
      <c r="R268" s="33">
        <f>VLOOKUP(Q268,Aralıklar!$E$2:$G$5,3,1)</f>
        <v>1</v>
      </c>
      <c r="S268" s="33">
        <f>IFERROR(VLOOKUP(A268,Devamsızlıklar!A:K,9,0),0)</f>
        <v>3</v>
      </c>
      <c r="T268" s="33">
        <f>VLOOKUP(S268,Aralıklar!$I$2:$K$6,3,1)</f>
        <v>50</v>
      </c>
      <c r="U268" s="33">
        <f>IFERROR(VLOOKUP(A268,Devamsızlıklar!A:K,11,0),0)</f>
        <v>0</v>
      </c>
      <c r="V268" s="33">
        <f>VLOOKUP(U268,Aralıklar!$M$2:$O$6,3,1)</f>
        <v>50</v>
      </c>
      <c r="W268" s="40">
        <f>IF(X268=0,0,(T268+V268)*R268*VLOOKUP($W$2,'Kriter Ağırlık'!$A$1:$B$8,2,1)*E268)</f>
        <v>10</v>
      </c>
      <c r="X268" s="40">
        <f>IFERROR(VLOOKUP(A268,Devamsızlıklar!A:M,13,0),1)</f>
        <v>0.96666666666666667</v>
      </c>
      <c r="Y268" s="40">
        <f>(OEE!$K$6*VLOOKUP($Y$2,'Kriter Ağırlık'!$A$1:$B$8,2,1))*X268*E268</f>
        <v>33.833333333333336</v>
      </c>
      <c r="Z268" s="40">
        <f>(TELEF!$I$10*VLOOKUP($Z$2,'Kriter Ağırlık'!$A$1:$B$8,2,1))*X268*E268</f>
        <v>14.5</v>
      </c>
      <c r="AA268" s="40">
        <f t="shared" si="24"/>
        <v>75.733333333333334</v>
      </c>
      <c r="AB268" s="1">
        <v>5</v>
      </c>
      <c r="AC268" s="33">
        <f>VLOOKUP(AB268,'Kriter Ağırlık'!$A$12:$C$17,3,0)</f>
        <v>18.5</v>
      </c>
      <c r="AD268" s="1">
        <v>5</v>
      </c>
      <c r="AE268" s="33">
        <f>VLOOKUP(AD268,'Kriter Ağırlık'!$E$12:$G$24,3,0)</f>
        <v>1</v>
      </c>
      <c r="AF268" s="92">
        <f t="shared" si="25"/>
        <v>1401.0666666666666</v>
      </c>
      <c r="AG268" t="str">
        <f>VLOOKUP(A268,'Çalışan Listesi'!A:G,6,0)</f>
        <v>OPERATÖR</v>
      </c>
    </row>
    <row r="269" spans="1:33" x14ac:dyDescent="0.2">
      <c r="A269" s="2">
        <v>5185</v>
      </c>
      <c r="B269" s="3" t="s">
        <v>315</v>
      </c>
      <c r="C269" s="4">
        <v>44515</v>
      </c>
      <c r="D269" s="5">
        <f t="shared" si="22"/>
        <v>90</v>
      </c>
      <c r="E269" s="6">
        <f t="shared" si="23"/>
        <v>1</v>
      </c>
      <c r="F269" s="25" t="s">
        <v>421</v>
      </c>
      <c r="G269" s="3" t="s">
        <v>86</v>
      </c>
      <c r="H269" s="106" t="str">
        <f>VLOOKUP(A269,'Çalışan Listesi'!A:G,7,0)</f>
        <v>1.KADEME</v>
      </c>
      <c r="I269" s="65">
        <f>IFERROR(VLOOKUP(A269,'Kaizen Listesi'!A:H,8,0),0)</f>
        <v>0</v>
      </c>
      <c r="J269" s="65">
        <f>I269*VLOOKUP($I$2,'Kriter Ağırlık'!$A$1:$B$8,2,0)</f>
        <v>0</v>
      </c>
      <c r="K269" s="65">
        <f>IFERROR(VLOOKUP(A269,'Hata Kartı '!A:H,8,0),0)</f>
        <v>0</v>
      </c>
      <c r="L269" s="65">
        <f>K269*(VLOOKUP($K$2,'Kriter Ağırlık'!$A$1:$B$8,2,0))</f>
        <v>0</v>
      </c>
      <c r="M269" s="65">
        <f>IFERROR(VLOOKUP(F269,'5S'!$B$8:$E$19,4,0),0)</f>
        <v>1</v>
      </c>
      <c r="N269" s="65">
        <f>VLOOKUP(M269,'5S'!$G$8:$I$14,3,1)*VLOOKUP($M$2,'Kriter Ağırlık'!$A$1:$B$8,2,0)*E269*X269</f>
        <v>8</v>
      </c>
      <c r="O269" s="1">
        <f>IFERROR(VLOOKUP(A269,Devamsızlıklar!A:K,10,0),0)</f>
        <v>0</v>
      </c>
      <c r="P269" s="40">
        <f>VLOOKUP(O269,Aralıklar!$A$2:$C$5,3,1)*VLOOKUP($O$2,'Kriter Ağırlık'!$A$1:$B$8,2,0)*E269*X269</f>
        <v>10</v>
      </c>
      <c r="Q269" s="1">
        <f>IFERROR(VLOOKUP(A269,Devamsızlıklar!A:K,8,0),0)</f>
        <v>0</v>
      </c>
      <c r="R269" s="33">
        <f>VLOOKUP(Q269,Aralıklar!$E$2:$G$5,3,1)</f>
        <v>1</v>
      </c>
      <c r="S269" s="33">
        <f>IFERROR(VLOOKUP(A269,Devamsızlıklar!A:K,9,0),0)</f>
        <v>0</v>
      </c>
      <c r="T269" s="33">
        <f>VLOOKUP(S269,Aralıklar!$I$2:$K$6,3,1)</f>
        <v>50</v>
      </c>
      <c r="U269" s="33">
        <f>IFERROR(VLOOKUP(A269,Devamsızlıklar!A:K,11,0),0)</f>
        <v>0</v>
      </c>
      <c r="V269" s="33">
        <f>VLOOKUP(U269,Aralıklar!$M$2:$O$6,3,1)</f>
        <v>50</v>
      </c>
      <c r="W269" s="40">
        <f>IF(X269=0,0,(T269+V269)*R269*VLOOKUP($W$2,'Kriter Ağırlık'!$A$1:$B$8,2,1)*E269)</f>
        <v>10</v>
      </c>
      <c r="X269" s="40">
        <f>IFERROR(VLOOKUP(A269,Devamsızlıklar!A:M,13,0),1)</f>
        <v>1</v>
      </c>
      <c r="Y269" s="40">
        <f>(OEE!$K$6*VLOOKUP($Y$2,'Kriter Ağırlık'!$A$1:$B$8,2,1))*X269*E269</f>
        <v>35</v>
      </c>
      <c r="Z269" s="40">
        <f>(TELEF!$I$10*VLOOKUP($Z$2,'Kriter Ağırlık'!$A$1:$B$8,2,1))*X269*E269</f>
        <v>15</v>
      </c>
      <c r="AA269" s="40">
        <f t="shared" si="24"/>
        <v>78</v>
      </c>
      <c r="AB269" s="1">
        <v>5</v>
      </c>
      <c r="AC269" s="33">
        <f>VLOOKUP(AB269,'Kriter Ağırlık'!$A$12:$C$17,3,0)</f>
        <v>18.5</v>
      </c>
      <c r="AD269" s="1">
        <v>5</v>
      </c>
      <c r="AE269" s="33">
        <f>VLOOKUP(AD269,'Kriter Ağırlık'!$E$12:$G$24,3,0)</f>
        <v>1</v>
      </c>
      <c r="AF269" s="92">
        <f t="shared" si="25"/>
        <v>1443</v>
      </c>
      <c r="AG269" t="str">
        <f>VLOOKUP(A269,'Çalışan Listesi'!A:G,6,0)</f>
        <v>OPERATÖR</v>
      </c>
    </row>
    <row r="270" spans="1:33" x14ac:dyDescent="0.2">
      <c r="A270" s="2">
        <v>5186</v>
      </c>
      <c r="B270" s="3" t="s">
        <v>316</v>
      </c>
      <c r="C270" s="4">
        <v>44515</v>
      </c>
      <c r="D270" s="5">
        <f t="shared" si="22"/>
        <v>90</v>
      </c>
      <c r="E270" s="6">
        <f t="shared" si="23"/>
        <v>1</v>
      </c>
      <c r="F270" s="25" t="s">
        <v>421</v>
      </c>
      <c r="G270" s="3" t="s">
        <v>86</v>
      </c>
      <c r="H270" s="106" t="str">
        <f>VLOOKUP(A270,'Çalışan Listesi'!A:G,7,0)</f>
        <v>1.KADEME</v>
      </c>
      <c r="I270" s="65">
        <f>IFERROR(VLOOKUP(A270,'Kaizen Listesi'!A:H,8,0),0)</f>
        <v>0</v>
      </c>
      <c r="J270" s="65">
        <f>I270*VLOOKUP($I$2,'Kriter Ağırlık'!$A$1:$B$8,2,0)</f>
        <v>0</v>
      </c>
      <c r="K270" s="65">
        <f>IFERROR(VLOOKUP(A270,'Hata Kartı '!A:H,8,0),0)</f>
        <v>66.666666666666671</v>
      </c>
      <c r="L270" s="65">
        <f>K270*(VLOOKUP($K$2,'Kriter Ağırlık'!$A$1:$B$8,2,0))</f>
        <v>6.6666666666666679</v>
      </c>
      <c r="M270" s="65">
        <f>IFERROR(VLOOKUP(F270,'5S'!$B$8:$E$19,4,0),0)</f>
        <v>1</v>
      </c>
      <c r="N270" s="65">
        <f>VLOOKUP(M270,'5S'!$G$8:$I$14,3,1)*VLOOKUP($M$2,'Kriter Ağırlık'!$A$1:$B$8,2,0)*E270*X270</f>
        <v>7.9111111111111114</v>
      </c>
      <c r="O270" s="1">
        <f>IFERROR(VLOOKUP(A270,Devamsızlıklar!A:K,10,0),0)</f>
        <v>0</v>
      </c>
      <c r="P270" s="40">
        <f>VLOOKUP(O270,Aralıklar!$A$2:$C$5,3,1)*VLOOKUP($O$2,'Kriter Ağırlık'!$A$1:$B$8,2,0)*E270*X270</f>
        <v>9.8888888888888893</v>
      </c>
      <c r="Q270" s="1">
        <f>IFERROR(VLOOKUP(A270,Devamsızlıklar!A:K,8,0),0)</f>
        <v>0</v>
      </c>
      <c r="R270" s="33">
        <f>VLOOKUP(Q270,Aralıklar!$E$2:$G$5,3,1)</f>
        <v>1</v>
      </c>
      <c r="S270" s="33">
        <f>IFERROR(VLOOKUP(A270,Devamsızlıklar!A:K,9,0),0)</f>
        <v>0</v>
      </c>
      <c r="T270" s="33">
        <f>VLOOKUP(S270,Aralıklar!$I$2:$K$6,3,1)</f>
        <v>50</v>
      </c>
      <c r="U270" s="33">
        <f>IFERROR(VLOOKUP(A270,Devamsızlıklar!A:K,11,0),0)</f>
        <v>1</v>
      </c>
      <c r="V270" s="33">
        <f>VLOOKUP(U270,Aralıklar!$M$2:$O$6,3,1)</f>
        <v>50</v>
      </c>
      <c r="W270" s="40">
        <f>IF(X270=0,0,(T270+V270)*R270*VLOOKUP($W$2,'Kriter Ağırlık'!$A$1:$B$8,2,1)*E270)</f>
        <v>10</v>
      </c>
      <c r="X270" s="40">
        <f>IFERROR(VLOOKUP(A270,Devamsızlıklar!A:M,13,0),1)</f>
        <v>0.98888888888888893</v>
      </c>
      <c r="Y270" s="40">
        <f>(OEE!$K$6*VLOOKUP($Y$2,'Kriter Ağırlık'!$A$1:$B$8,2,1))*X270*E270</f>
        <v>34.611111111111114</v>
      </c>
      <c r="Z270" s="40">
        <f>(TELEF!$I$10*VLOOKUP($Z$2,'Kriter Ağırlık'!$A$1:$B$8,2,1))*X270*E270</f>
        <v>14.833333333333334</v>
      </c>
      <c r="AA270" s="40">
        <f t="shared" si="24"/>
        <v>83.911111111111111</v>
      </c>
      <c r="AB270" s="1">
        <v>5</v>
      </c>
      <c r="AC270" s="33">
        <f>VLOOKUP(AB270,'Kriter Ağırlık'!$A$12:$C$17,3,0)</f>
        <v>18.5</v>
      </c>
      <c r="AD270" s="1">
        <v>5</v>
      </c>
      <c r="AE270" s="33">
        <f>VLOOKUP(AD270,'Kriter Ağırlık'!$E$12:$G$24,3,0)</f>
        <v>1</v>
      </c>
      <c r="AF270" s="92">
        <f t="shared" si="25"/>
        <v>1552.3555555555556</v>
      </c>
      <c r="AG270" t="str">
        <f>VLOOKUP(A270,'Çalışan Listesi'!A:G,6,0)</f>
        <v>OPERATÖR</v>
      </c>
    </row>
    <row r="271" spans="1:33" x14ac:dyDescent="0.2">
      <c r="A271" s="2">
        <v>5194</v>
      </c>
      <c r="B271" s="3" t="s">
        <v>317</v>
      </c>
      <c r="C271" s="4">
        <v>44522</v>
      </c>
      <c r="D271" s="5">
        <f t="shared" si="22"/>
        <v>90</v>
      </c>
      <c r="E271" s="6">
        <f t="shared" si="23"/>
        <v>1</v>
      </c>
      <c r="F271" s="25" t="s">
        <v>421</v>
      </c>
      <c r="G271" s="3" t="s">
        <v>86</v>
      </c>
      <c r="H271" s="106" t="str">
        <f>VLOOKUP(A271,'Çalışan Listesi'!A:G,7,0)</f>
        <v>1.KADEME</v>
      </c>
      <c r="I271" s="65">
        <f>IFERROR(VLOOKUP(A271,'Kaizen Listesi'!A:H,8,0),0)</f>
        <v>0</v>
      </c>
      <c r="J271" s="65">
        <f>I271*VLOOKUP($I$2,'Kriter Ağırlık'!$A$1:$B$8,2,0)</f>
        <v>0</v>
      </c>
      <c r="K271" s="65">
        <f>IFERROR(VLOOKUP(A271,'Hata Kartı '!A:H,8,0),0)</f>
        <v>16.666666666666668</v>
      </c>
      <c r="L271" s="65">
        <f>K271*(VLOOKUP($K$2,'Kriter Ağırlık'!$A$1:$B$8,2,0))</f>
        <v>1.666666666666667</v>
      </c>
      <c r="M271" s="65">
        <f>IFERROR(VLOOKUP(F271,'5S'!$B$8:$E$19,4,0),0)</f>
        <v>1</v>
      </c>
      <c r="N271" s="65">
        <f>VLOOKUP(M271,'5S'!$G$8:$I$14,3,1)*VLOOKUP($M$2,'Kriter Ağırlık'!$A$1:$B$8,2,0)*E271*X271</f>
        <v>8</v>
      </c>
      <c r="O271" s="1">
        <f>IFERROR(VLOOKUP(A271,Devamsızlıklar!A:K,10,0),0)</f>
        <v>0</v>
      </c>
      <c r="P271" s="40">
        <f>VLOOKUP(O271,Aralıklar!$A$2:$C$5,3,1)*VLOOKUP($O$2,'Kriter Ağırlık'!$A$1:$B$8,2,0)*E271*X271</f>
        <v>10</v>
      </c>
      <c r="Q271" s="1">
        <f>IFERROR(VLOOKUP(A271,Devamsızlıklar!A:K,8,0),0)</f>
        <v>0</v>
      </c>
      <c r="R271" s="33">
        <f>VLOOKUP(Q271,Aralıklar!$E$2:$G$5,3,1)</f>
        <v>1</v>
      </c>
      <c r="S271" s="33">
        <f>IFERROR(VLOOKUP(A271,Devamsızlıklar!A:K,9,0),0)</f>
        <v>0</v>
      </c>
      <c r="T271" s="33">
        <f>VLOOKUP(S271,Aralıklar!$I$2:$K$6,3,1)</f>
        <v>50</v>
      </c>
      <c r="U271" s="33">
        <f>IFERROR(VLOOKUP(A271,Devamsızlıklar!A:K,11,0),0)</f>
        <v>0</v>
      </c>
      <c r="V271" s="33">
        <f>VLOOKUP(U271,Aralıklar!$M$2:$O$6,3,1)</f>
        <v>50</v>
      </c>
      <c r="W271" s="40">
        <f>IF(X271=0,0,(T271+V271)*R271*VLOOKUP($W$2,'Kriter Ağırlık'!$A$1:$B$8,2,1)*E271)</f>
        <v>10</v>
      </c>
      <c r="X271" s="40">
        <f>IFERROR(VLOOKUP(A271,Devamsızlıklar!A:M,13,0),1)</f>
        <v>1</v>
      </c>
      <c r="Y271" s="40">
        <f>(OEE!$K$6*VLOOKUP($Y$2,'Kriter Ağırlık'!$A$1:$B$8,2,1))*X271*E271</f>
        <v>35</v>
      </c>
      <c r="Z271" s="40">
        <f>(TELEF!$I$10*VLOOKUP($Z$2,'Kriter Ağırlık'!$A$1:$B$8,2,1))*X271*E271</f>
        <v>15</v>
      </c>
      <c r="AA271" s="40">
        <f t="shared" si="24"/>
        <v>79.666666666666671</v>
      </c>
      <c r="AB271" s="1">
        <v>5</v>
      </c>
      <c r="AC271" s="33">
        <f>VLOOKUP(AB271,'Kriter Ağırlık'!$A$12:$C$17,3,0)</f>
        <v>18.5</v>
      </c>
      <c r="AD271" s="1">
        <v>5</v>
      </c>
      <c r="AE271" s="33">
        <f>VLOOKUP(AD271,'Kriter Ağırlık'!$E$12:$G$24,3,0)</f>
        <v>1</v>
      </c>
      <c r="AF271" s="92">
        <f t="shared" si="25"/>
        <v>1473.8333333333335</v>
      </c>
      <c r="AG271" t="str">
        <f>VLOOKUP(A271,'Çalışan Listesi'!A:G,6,0)</f>
        <v>OPERATÖR</v>
      </c>
    </row>
    <row r="272" spans="1:33" x14ac:dyDescent="0.2">
      <c r="A272" s="2">
        <v>5202</v>
      </c>
      <c r="B272" s="3" t="s">
        <v>318</v>
      </c>
      <c r="C272" s="4">
        <v>44529</v>
      </c>
      <c r="D272" s="5">
        <f t="shared" si="22"/>
        <v>90</v>
      </c>
      <c r="E272" s="6">
        <f t="shared" si="23"/>
        <v>1</v>
      </c>
      <c r="F272" s="25" t="s">
        <v>425</v>
      </c>
      <c r="G272" s="3" t="s">
        <v>24</v>
      </c>
      <c r="H272" s="106" t="str">
        <f>VLOOKUP(A272,'Çalışan Listesi'!A:G,7,0)</f>
        <v>1.KADEME</v>
      </c>
      <c r="I272" s="65">
        <f>IFERROR(VLOOKUP(A272,'Kaizen Listesi'!A:H,8,0),0)</f>
        <v>0</v>
      </c>
      <c r="J272" s="65">
        <f>I272*VLOOKUP($I$2,'Kriter Ağırlık'!$A$1:$B$8,2,0)</f>
        <v>0</v>
      </c>
      <c r="K272" s="65">
        <f>IFERROR(VLOOKUP(A272,'Hata Kartı '!A:H,8,0),0)</f>
        <v>16.666666666666668</v>
      </c>
      <c r="L272" s="65">
        <f>K272*(VLOOKUP($K$2,'Kriter Ağırlık'!$A$1:$B$8,2,0))</f>
        <v>1.666666666666667</v>
      </c>
      <c r="M272" s="65">
        <f>IFERROR(VLOOKUP(F272,'5S'!$B$8:$E$19,4,0),0)</f>
        <v>1</v>
      </c>
      <c r="N272" s="65">
        <f>VLOOKUP(M272,'5S'!$G$8:$I$14,3,1)*VLOOKUP($M$2,'Kriter Ağırlık'!$A$1:$B$8,2,0)*E272*X272</f>
        <v>8</v>
      </c>
      <c r="O272" s="1">
        <f>IFERROR(VLOOKUP(A272,Devamsızlıklar!A:K,10,0),0)</f>
        <v>0</v>
      </c>
      <c r="P272" s="40">
        <f>VLOOKUP(O272,Aralıklar!$A$2:$C$5,3,1)*VLOOKUP($O$2,'Kriter Ağırlık'!$A$1:$B$8,2,0)*E272*X272</f>
        <v>10</v>
      </c>
      <c r="Q272" s="1">
        <f>IFERROR(VLOOKUP(A272,Devamsızlıklar!A:K,8,0),0)</f>
        <v>0</v>
      </c>
      <c r="R272" s="33">
        <f>VLOOKUP(Q272,Aralıklar!$E$2:$G$5,3,1)</f>
        <v>1</v>
      </c>
      <c r="S272" s="33">
        <f>IFERROR(VLOOKUP(A272,Devamsızlıklar!A:K,9,0),0)</f>
        <v>0</v>
      </c>
      <c r="T272" s="33">
        <f>VLOOKUP(S272,Aralıklar!$I$2:$K$6,3,1)</f>
        <v>50</v>
      </c>
      <c r="U272" s="33">
        <f>IFERROR(VLOOKUP(A272,Devamsızlıklar!A:K,11,0),0)</f>
        <v>0</v>
      </c>
      <c r="V272" s="33">
        <f>VLOOKUP(U272,Aralıklar!$M$2:$O$6,3,1)</f>
        <v>50</v>
      </c>
      <c r="W272" s="40">
        <f>IF(X272=0,0,(T272+V272)*R272*VLOOKUP($W$2,'Kriter Ağırlık'!$A$1:$B$8,2,1)*E272)</f>
        <v>10</v>
      </c>
      <c r="X272" s="40">
        <f>IFERROR(VLOOKUP(A272,Devamsızlıklar!A:M,13,0),1)</f>
        <v>1</v>
      </c>
      <c r="Y272" s="40">
        <f>(OEE!$K$6*VLOOKUP($Y$2,'Kriter Ağırlık'!$A$1:$B$8,2,1))*X272*E272</f>
        <v>35</v>
      </c>
      <c r="Z272" s="40">
        <f>(TELEF!$I$10*VLOOKUP($Z$2,'Kriter Ağırlık'!$A$1:$B$8,2,1))*X272*E272</f>
        <v>15</v>
      </c>
      <c r="AA272" s="40">
        <f t="shared" si="24"/>
        <v>79.666666666666671</v>
      </c>
      <c r="AB272" s="1">
        <v>5</v>
      </c>
      <c r="AC272" s="33">
        <f>VLOOKUP(AB272,'Kriter Ağırlık'!$A$12:$C$17,3,0)</f>
        <v>18.5</v>
      </c>
      <c r="AD272" s="1">
        <v>12</v>
      </c>
      <c r="AE272" s="33">
        <f>VLOOKUP(AD272,'Kriter Ağırlık'!$E$12:$G$24,3,0)</f>
        <v>1</v>
      </c>
      <c r="AF272" s="92">
        <f t="shared" si="25"/>
        <v>1473.8333333333335</v>
      </c>
      <c r="AG272" t="str">
        <f>VLOOKUP(A272,'Çalışan Listesi'!A:G,6,0)</f>
        <v>TEKNİSYEN</v>
      </c>
    </row>
    <row r="273" spans="1:33" x14ac:dyDescent="0.2">
      <c r="A273" s="2">
        <v>5203</v>
      </c>
      <c r="B273" s="3" t="s">
        <v>319</v>
      </c>
      <c r="C273" s="4">
        <v>44529</v>
      </c>
      <c r="D273" s="5">
        <f t="shared" si="22"/>
        <v>90</v>
      </c>
      <c r="E273" s="6">
        <f t="shared" si="23"/>
        <v>1</v>
      </c>
      <c r="F273" s="25" t="s">
        <v>421</v>
      </c>
      <c r="G273" s="3" t="s">
        <v>10</v>
      </c>
      <c r="H273" s="106" t="str">
        <f>VLOOKUP(A273,'Çalışan Listesi'!A:G,7,0)</f>
        <v>1.KADEME</v>
      </c>
      <c r="I273" s="65">
        <f>IFERROR(VLOOKUP(A273,'Kaizen Listesi'!A:H,8,0),0)</f>
        <v>0</v>
      </c>
      <c r="J273" s="65">
        <f>I273*VLOOKUP($I$2,'Kriter Ağırlık'!$A$1:$B$8,2,0)</f>
        <v>0</v>
      </c>
      <c r="K273" s="65">
        <f>IFERROR(VLOOKUP(A273,'Hata Kartı '!A:H,8,0),0)</f>
        <v>0</v>
      </c>
      <c r="L273" s="65">
        <f>K273*(VLOOKUP($K$2,'Kriter Ağırlık'!$A$1:$B$8,2,0))</f>
        <v>0</v>
      </c>
      <c r="M273" s="65">
        <f>IFERROR(VLOOKUP(F273,'5S'!$B$8:$E$19,4,0),0)</f>
        <v>1</v>
      </c>
      <c r="N273" s="65">
        <f>VLOOKUP(M273,'5S'!$G$8:$I$14,3,1)*VLOOKUP($M$2,'Kriter Ağırlık'!$A$1:$B$8,2,0)*E273*X273</f>
        <v>7.9111111111111114</v>
      </c>
      <c r="O273" s="1">
        <f>IFERROR(VLOOKUP(A273,Devamsızlıklar!A:K,10,0),0)</f>
        <v>0</v>
      </c>
      <c r="P273" s="40">
        <f>VLOOKUP(O273,Aralıklar!$A$2:$C$5,3,1)*VLOOKUP($O$2,'Kriter Ağırlık'!$A$1:$B$8,2,0)*E273*X273</f>
        <v>9.8888888888888893</v>
      </c>
      <c r="Q273" s="1">
        <f>IFERROR(VLOOKUP(A273,Devamsızlıklar!A:K,8,0),0)</f>
        <v>0</v>
      </c>
      <c r="R273" s="33">
        <f>VLOOKUP(Q273,Aralıklar!$E$2:$G$5,3,1)</f>
        <v>1</v>
      </c>
      <c r="S273" s="33">
        <f>IFERROR(VLOOKUP(A273,Devamsızlıklar!A:K,9,0),0)</f>
        <v>0</v>
      </c>
      <c r="T273" s="33">
        <f>VLOOKUP(S273,Aralıklar!$I$2:$K$6,3,1)</f>
        <v>50</v>
      </c>
      <c r="U273" s="33">
        <f>IFERROR(VLOOKUP(A273,Devamsızlıklar!A:K,11,0),0)</f>
        <v>1</v>
      </c>
      <c r="V273" s="33">
        <f>VLOOKUP(U273,Aralıklar!$M$2:$O$6,3,1)</f>
        <v>50</v>
      </c>
      <c r="W273" s="40">
        <f>IF(X273=0,0,(T273+V273)*R273*VLOOKUP($W$2,'Kriter Ağırlık'!$A$1:$B$8,2,1)*E273)</f>
        <v>10</v>
      </c>
      <c r="X273" s="40">
        <f>IFERROR(VLOOKUP(A273,Devamsızlıklar!A:M,13,0),1)</f>
        <v>0.98888888888888893</v>
      </c>
      <c r="Y273" s="40">
        <f>(OEE!$K$6*VLOOKUP($Y$2,'Kriter Ağırlık'!$A$1:$B$8,2,1))*X273*E273</f>
        <v>34.611111111111114</v>
      </c>
      <c r="Z273" s="40">
        <f>(TELEF!$I$10*VLOOKUP($Z$2,'Kriter Ağırlık'!$A$1:$B$8,2,1))*X273*E273</f>
        <v>14.833333333333334</v>
      </c>
      <c r="AA273" s="40">
        <f t="shared" si="24"/>
        <v>77.24444444444444</v>
      </c>
      <c r="AB273" s="1">
        <v>5</v>
      </c>
      <c r="AC273" s="33">
        <f>VLOOKUP(AB273,'Kriter Ağırlık'!$A$12:$C$17,3,0)</f>
        <v>18.5</v>
      </c>
      <c r="AD273" s="1">
        <v>5</v>
      </c>
      <c r="AE273" s="33">
        <f>VLOOKUP(AD273,'Kriter Ağırlık'!$E$12:$G$24,3,0)</f>
        <v>1</v>
      </c>
      <c r="AF273" s="92">
        <f t="shared" si="25"/>
        <v>1429.0222222222221</v>
      </c>
      <c r="AG273" t="str">
        <f>VLOOKUP(A273,'Çalışan Listesi'!A:G,6,0)</f>
        <v>OPERATÖR</v>
      </c>
    </row>
    <row r="274" spans="1:33" x14ac:dyDescent="0.2">
      <c r="A274" s="2">
        <v>5217</v>
      </c>
      <c r="B274" s="3" t="s">
        <v>320</v>
      </c>
      <c r="C274" s="4">
        <v>44543</v>
      </c>
      <c r="D274" s="5">
        <f t="shared" si="22"/>
        <v>90</v>
      </c>
      <c r="E274" s="6">
        <f t="shared" si="23"/>
        <v>1</v>
      </c>
      <c r="F274" s="25" t="s">
        <v>421</v>
      </c>
      <c r="G274" s="3" t="s">
        <v>86</v>
      </c>
      <c r="H274" s="106" t="str">
        <f>VLOOKUP(A274,'Çalışan Listesi'!A:G,7,0)</f>
        <v>1.KADEME</v>
      </c>
      <c r="I274" s="65">
        <f>IFERROR(VLOOKUP(A274,'Kaizen Listesi'!A:H,8,0),0)</f>
        <v>0</v>
      </c>
      <c r="J274" s="65">
        <f>I274*VLOOKUP($I$2,'Kriter Ağırlık'!$A$1:$B$8,2,0)</f>
        <v>0</v>
      </c>
      <c r="K274" s="65">
        <f>IFERROR(VLOOKUP(A274,'Hata Kartı '!A:H,8,0),0)</f>
        <v>33.333333333333336</v>
      </c>
      <c r="L274" s="65">
        <f>K274*(VLOOKUP($K$2,'Kriter Ağırlık'!$A$1:$B$8,2,0))</f>
        <v>3.3333333333333339</v>
      </c>
      <c r="M274" s="65">
        <f>IFERROR(VLOOKUP(F274,'5S'!$B$8:$E$19,4,0),0)</f>
        <v>1</v>
      </c>
      <c r="N274" s="65">
        <f>VLOOKUP(M274,'5S'!$G$8:$I$14,3,1)*VLOOKUP($M$2,'Kriter Ağırlık'!$A$1:$B$8,2,0)*E274*X274</f>
        <v>8</v>
      </c>
      <c r="O274" s="1">
        <f>IFERROR(VLOOKUP(A274,Devamsızlıklar!A:K,10,0),0)</f>
        <v>0</v>
      </c>
      <c r="P274" s="40">
        <f>VLOOKUP(O274,Aralıklar!$A$2:$C$5,3,1)*VLOOKUP($O$2,'Kriter Ağırlık'!$A$1:$B$8,2,0)*E274*X274</f>
        <v>10</v>
      </c>
      <c r="Q274" s="1">
        <f>IFERROR(VLOOKUP(A274,Devamsızlıklar!A:K,8,0),0)</f>
        <v>0</v>
      </c>
      <c r="R274" s="33">
        <f>VLOOKUP(Q274,Aralıklar!$E$2:$G$5,3,1)</f>
        <v>1</v>
      </c>
      <c r="S274" s="33">
        <f>IFERROR(VLOOKUP(A274,Devamsızlıklar!A:K,9,0),0)</f>
        <v>0</v>
      </c>
      <c r="T274" s="33">
        <f>VLOOKUP(S274,Aralıklar!$I$2:$K$6,3,1)</f>
        <v>50</v>
      </c>
      <c r="U274" s="33">
        <f>IFERROR(VLOOKUP(A274,Devamsızlıklar!A:K,11,0),0)</f>
        <v>0</v>
      </c>
      <c r="V274" s="33">
        <f>VLOOKUP(U274,Aralıklar!$M$2:$O$6,3,1)</f>
        <v>50</v>
      </c>
      <c r="W274" s="40">
        <f>IF(X274=0,0,(T274+V274)*R274*VLOOKUP($W$2,'Kriter Ağırlık'!$A$1:$B$8,2,1)*E274)</f>
        <v>10</v>
      </c>
      <c r="X274" s="40">
        <f>IFERROR(VLOOKUP(A274,Devamsızlıklar!A:M,13,0),1)</f>
        <v>1</v>
      </c>
      <c r="Y274" s="40">
        <f>(OEE!$K$6*VLOOKUP($Y$2,'Kriter Ağırlık'!$A$1:$B$8,2,1))*X274*E274</f>
        <v>35</v>
      </c>
      <c r="Z274" s="40">
        <f>(TELEF!$I$10*VLOOKUP($Z$2,'Kriter Ağırlık'!$A$1:$B$8,2,1))*X274*E274</f>
        <v>15</v>
      </c>
      <c r="AA274" s="40">
        <f t="shared" si="24"/>
        <v>81.333333333333343</v>
      </c>
      <c r="AB274" s="1">
        <v>5</v>
      </c>
      <c r="AC274" s="33">
        <f>VLOOKUP(AB274,'Kriter Ağırlık'!$A$12:$C$17,3,0)</f>
        <v>18.5</v>
      </c>
      <c r="AD274" s="76">
        <v>5</v>
      </c>
      <c r="AE274" s="33">
        <f>VLOOKUP(AD274,'Kriter Ağırlık'!$E$12:$G$24,3,0)</f>
        <v>1</v>
      </c>
      <c r="AF274" s="92">
        <f t="shared" si="25"/>
        <v>1504.6666666666667</v>
      </c>
      <c r="AG274" t="str">
        <f>VLOOKUP(A274,'Çalışan Listesi'!A:G,6,0)</f>
        <v>OPERATÖR</v>
      </c>
    </row>
    <row r="275" spans="1:33" x14ac:dyDescent="0.2">
      <c r="A275" s="2">
        <v>5220</v>
      </c>
      <c r="B275" s="3" t="s">
        <v>321</v>
      </c>
      <c r="C275" s="4">
        <v>44543</v>
      </c>
      <c r="D275" s="5">
        <f t="shared" si="22"/>
        <v>90</v>
      </c>
      <c r="E275" s="6">
        <f t="shared" si="23"/>
        <v>1</v>
      </c>
      <c r="F275" s="25" t="s">
        <v>426</v>
      </c>
      <c r="G275" s="3" t="s">
        <v>549</v>
      </c>
      <c r="H275" s="106" t="str">
        <f>VLOOKUP(A275,'Çalışan Listesi'!A:G,7,0)</f>
        <v>1.KADEME</v>
      </c>
      <c r="I275" s="65">
        <f>IFERROR(VLOOKUP(A275,'Kaizen Listesi'!A:H,8,0),0)</f>
        <v>0</v>
      </c>
      <c r="J275" s="65">
        <f>I275*VLOOKUP($I$2,'Kriter Ağırlık'!$A$1:$B$8,2,0)</f>
        <v>0</v>
      </c>
      <c r="K275" s="65">
        <f>IFERROR(VLOOKUP(A275,'Hata Kartı '!A:H,8,0),0)</f>
        <v>0</v>
      </c>
      <c r="L275" s="65">
        <f>K275*(VLOOKUP($K$2,'Kriter Ağırlık'!$A$1:$B$8,2,0))</f>
        <v>0</v>
      </c>
      <c r="M275" s="65">
        <f>IFERROR(VLOOKUP(F275,'5S'!$B$8:$E$19,4,0),0)</f>
        <v>1</v>
      </c>
      <c r="N275" s="65">
        <f>VLOOKUP(M275,'5S'!$G$8:$I$14,3,1)*VLOOKUP($M$2,'Kriter Ağırlık'!$A$1:$B$8,2,0)*E275*X275</f>
        <v>7.9111111111111114</v>
      </c>
      <c r="O275" s="1">
        <f>IFERROR(VLOOKUP(A275,Devamsızlıklar!A:K,10,0),0)</f>
        <v>0</v>
      </c>
      <c r="P275" s="40">
        <f>VLOOKUP(O275,Aralıklar!$A$2:$C$5,3,1)*VLOOKUP($O$2,'Kriter Ağırlık'!$A$1:$B$8,2,0)*E275*X275</f>
        <v>9.8888888888888893</v>
      </c>
      <c r="Q275" s="1">
        <f>IFERROR(VLOOKUP(A275,Devamsızlıklar!A:K,8,0),0)</f>
        <v>0</v>
      </c>
      <c r="R275" s="33">
        <f>VLOOKUP(Q275,Aralıklar!$E$2:$G$5,3,1)</f>
        <v>1</v>
      </c>
      <c r="S275" s="33">
        <f>IFERROR(VLOOKUP(A275,Devamsızlıklar!A:K,9,0),0)</f>
        <v>0</v>
      </c>
      <c r="T275" s="33">
        <f>VLOOKUP(S275,Aralıklar!$I$2:$K$6,3,1)</f>
        <v>50</v>
      </c>
      <c r="U275" s="33">
        <f>IFERROR(VLOOKUP(A275,Devamsızlıklar!A:K,11,0),0)</f>
        <v>1</v>
      </c>
      <c r="V275" s="33">
        <f>VLOOKUP(U275,Aralıklar!$M$2:$O$6,3,1)</f>
        <v>50</v>
      </c>
      <c r="W275" s="40">
        <f>IF(X275=0,0,(T275+V275)*R275*VLOOKUP($W$2,'Kriter Ağırlık'!$A$1:$B$8,2,1)*E275)</f>
        <v>10</v>
      </c>
      <c r="X275" s="40">
        <f>IFERROR(VLOOKUP(A275,Devamsızlıklar!A:M,13,0),1)</f>
        <v>0.98888888888888893</v>
      </c>
      <c r="Y275" s="40">
        <f>(OEE!$K$6*VLOOKUP($Y$2,'Kriter Ağırlık'!$A$1:$B$8,2,1))*X275*E275</f>
        <v>34.611111111111114</v>
      </c>
      <c r="Z275" s="40">
        <f>(TELEF!$I$10*VLOOKUP($Z$2,'Kriter Ağırlık'!$A$1:$B$8,2,1))*X275*E275</f>
        <v>14.833333333333334</v>
      </c>
      <c r="AA275" s="40">
        <f t="shared" si="24"/>
        <v>77.24444444444444</v>
      </c>
      <c r="AB275" s="1">
        <v>5</v>
      </c>
      <c r="AC275" s="33">
        <f>VLOOKUP(AB275,'Kriter Ağırlık'!$A$12:$C$17,3,0)</f>
        <v>18.5</v>
      </c>
      <c r="AD275" s="1">
        <v>5</v>
      </c>
      <c r="AE275" s="33">
        <f>VLOOKUP(AD275,'Kriter Ağırlık'!$E$12:$G$24,3,0)</f>
        <v>1</v>
      </c>
      <c r="AF275" s="92">
        <f t="shared" si="25"/>
        <v>1429.0222222222221</v>
      </c>
      <c r="AG275" t="str">
        <f>VLOOKUP(A275,'Çalışan Listesi'!A:G,6,0)</f>
        <v>OPERATÖR</v>
      </c>
    </row>
    <row r="276" spans="1:33" x14ac:dyDescent="0.2">
      <c r="A276" s="2">
        <v>5242</v>
      </c>
      <c r="B276" s="3" t="s">
        <v>322</v>
      </c>
      <c r="C276" s="4">
        <v>44550</v>
      </c>
      <c r="D276" s="5">
        <f t="shared" si="22"/>
        <v>90</v>
      </c>
      <c r="E276" s="6">
        <f t="shared" si="23"/>
        <v>1</v>
      </c>
      <c r="F276" s="25" t="s">
        <v>421</v>
      </c>
      <c r="G276" s="3" t="s">
        <v>10</v>
      </c>
      <c r="H276" s="106" t="str">
        <f>VLOOKUP(A276,'Çalışan Listesi'!A:G,7,0)</f>
        <v>1.KADEME</v>
      </c>
      <c r="I276" s="65">
        <f>IFERROR(VLOOKUP(A276,'Kaizen Listesi'!A:H,8,0),0)</f>
        <v>0</v>
      </c>
      <c r="J276" s="65">
        <f>I276*VLOOKUP($I$2,'Kriter Ağırlık'!$A$1:$B$8,2,0)</f>
        <v>0</v>
      </c>
      <c r="K276" s="65">
        <f>IFERROR(VLOOKUP(A276,'Hata Kartı '!A:H,8,0),0)</f>
        <v>16.666666666666668</v>
      </c>
      <c r="L276" s="65">
        <f>K276*(VLOOKUP($K$2,'Kriter Ağırlık'!$A$1:$B$8,2,0))</f>
        <v>1.666666666666667</v>
      </c>
      <c r="M276" s="65">
        <f>IFERROR(VLOOKUP(F276,'5S'!$B$8:$E$19,4,0),0)</f>
        <v>1</v>
      </c>
      <c r="N276" s="65">
        <f>VLOOKUP(M276,'5S'!$G$8:$I$14,3,1)*VLOOKUP($M$2,'Kriter Ağırlık'!$A$1:$B$8,2,0)*E276*X276</f>
        <v>7.1111111111111107</v>
      </c>
      <c r="O276" s="1">
        <f>IFERROR(VLOOKUP(A276,Devamsızlıklar!A:K,10,0),0)</f>
        <v>0</v>
      </c>
      <c r="P276" s="40">
        <f>VLOOKUP(O276,Aralıklar!$A$2:$C$5,3,1)*VLOOKUP($O$2,'Kriter Ağırlık'!$A$1:$B$8,2,0)*E276*X276</f>
        <v>8.8888888888888893</v>
      </c>
      <c r="Q276" s="1">
        <f>IFERROR(VLOOKUP(A276,Devamsızlıklar!A:K,8,0),0)</f>
        <v>0</v>
      </c>
      <c r="R276" s="33">
        <f>VLOOKUP(Q276,Aralıklar!$E$2:$G$5,3,1)</f>
        <v>1</v>
      </c>
      <c r="S276" s="33">
        <f>IFERROR(VLOOKUP(A276,Devamsızlıklar!A:K,9,0),0)</f>
        <v>3</v>
      </c>
      <c r="T276" s="33">
        <f>VLOOKUP(S276,Aralıklar!$I$2:$K$6,3,1)</f>
        <v>50</v>
      </c>
      <c r="U276" s="33">
        <f>IFERROR(VLOOKUP(A276,Devamsızlıklar!A:K,11,0),0)</f>
        <v>0</v>
      </c>
      <c r="V276" s="33">
        <f>VLOOKUP(U276,Aralıklar!$M$2:$O$6,3,1)</f>
        <v>50</v>
      </c>
      <c r="W276" s="40">
        <f>IF(X276=0,0,(T276+V276)*R276*VLOOKUP($W$2,'Kriter Ağırlık'!$A$1:$B$8,2,1)*E276)</f>
        <v>10</v>
      </c>
      <c r="X276" s="40">
        <f>IFERROR(VLOOKUP(A276,Devamsızlıklar!A:M,13,0),1)</f>
        <v>0.88888888888888884</v>
      </c>
      <c r="Y276" s="40">
        <f>(OEE!$K$6*VLOOKUP($Y$2,'Kriter Ağırlık'!$A$1:$B$8,2,1))*X276*E276</f>
        <v>31.111111111111111</v>
      </c>
      <c r="Z276" s="40">
        <f>(TELEF!$I$10*VLOOKUP($Z$2,'Kriter Ağırlık'!$A$1:$B$8,2,1))*X276*E276</f>
        <v>13.333333333333332</v>
      </c>
      <c r="AA276" s="40">
        <f t="shared" si="24"/>
        <v>72.111111111111114</v>
      </c>
      <c r="AB276" s="1">
        <v>5</v>
      </c>
      <c r="AC276" s="33">
        <f>VLOOKUP(AB276,'Kriter Ağırlık'!$A$12:$C$17,3,0)</f>
        <v>18.5</v>
      </c>
      <c r="AD276" s="1">
        <v>5</v>
      </c>
      <c r="AE276" s="33">
        <f>VLOOKUP(AD276,'Kriter Ağırlık'!$E$12:$G$24,3,0)</f>
        <v>1</v>
      </c>
      <c r="AF276" s="92">
        <f t="shared" si="25"/>
        <v>1334.0555555555557</v>
      </c>
      <c r="AG276" t="str">
        <f>VLOOKUP(A276,'Çalışan Listesi'!A:G,6,0)</f>
        <v>OPERATÖR</v>
      </c>
    </row>
    <row r="277" spans="1:33" x14ac:dyDescent="0.2">
      <c r="A277" s="2">
        <v>5243</v>
      </c>
      <c r="B277" s="3" t="s">
        <v>323</v>
      </c>
      <c r="C277" s="4">
        <v>44550</v>
      </c>
      <c r="D277" s="5">
        <f t="shared" si="22"/>
        <v>90</v>
      </c>
      <c r="E277" s="6">
        <f t="shared" si="23"/>
        <v>1</v>
      </c>
      <c r="F277" s="25" t="s">
        <v>422</v>
      </c>
      <c r="G277" s="3" t="s">
        <v>54</v>
      </c>
      <c r="H277" s="106" t="str">
        <f>VLOOKUP(A277,'Çalışan Listesi'!A:G,7,0)</f>
        <v>1.KADEME</v>
      </c>
      <c r="I277" s="65">
        <f>IFERROR(VLOOKUP(A277,'Kaizen Listesi'!A:H,8,0),0)</f>
        <v>0</v>
      </c>
      <c r="J277" s="65">
        <f>I277*VLOOKUP($I$2,'Kriter Ağırlık'!$A$1:$B$8,2,0)</f>
        <v>0</v>
      </c>
      <c r="K277" s="65">
        <f>IFERROR(VLOOKUP(A277,'Hata Kartı '!A:H,8,0),0)</f>
        <v>16.666666666666668</v>
      </c>
      <c r="L277" s="65">
        <f>K277*(VLOOKUP($K$2,'Kriter Ağırlık'!$A$1:$B$8,2,0))</f>
        <v>1.666666666666667</v>
      </c>
      <c r="M277" s="65">
        <f>IFERROR(VLOOKUP(F277,'5S'!$B$8:$E$19,4,0),0)</f>
        <v>1</v>
      </c>
      <c r="N277" s="65">
        <f>VLOOKUP(M277,'5S'!$G$8:$I$14,3,1)*VLOOKUP($M$2,'Kriter Ağırlık'!$A$1:$B$8,2,0)*E277*X277</f>
        <v>6.8444444444444441</v>
      </c>
      <c r="O277" s="1">
        <f>IFERROR(VLOOKUP(A277,Devamsızlıklar!A:K,10,0),0)</f>
        <v>0</v>
      </c>
      <c r="P277" s="40">
        <f>VLOOKUP(O277,Aralıklar!$A$2:$C$5,3,1)*VLOOKUP($O$2,'Kriter Ağırlık'!$A$1:$B$8,2,0)*E277*X277</f>
        <v>8.5555555555555554</v>
      </c>
      <c r="Q277" s="1">
        <f>IFERROR(VLOOKUP(A277,Devamsızlıklar!A:K,8,0),0)</f>
        <v>0</v>
      </c>
      <c r="R277" s="33">
        <f>VLOOKUP(Q277,Aralıklar!$E$2:$G$5,3,1)</f>
        <v>1</v>
      </c>
      <c r="S277" s="33">
        <f>IFERROR(VLOOKUP(A277,Devamsızlıklar!A:K,9,0),0)</f>
        <v>0</v>
      </c>
      <c r="T277" s="33">
        <f>VLOOKUP(S277,Aralıklar!$I$2:$K$6,3,1)</f>
        <v>50</v>
      </c>
      <c r="U277" s="33">
        <f>IFERROR(VLOOKUP(A277,Devamsızlıklar!A:K,11,0),0)</f>
        <v>1</v>
      </c>
      <c r="V277" s="33">
        <f>VLOOKUP(U277,Aralıklar!$M$2:$O$6,3,1)</f>
        <v>50</v>
      </c>
      <c r="W277" s="40">
        <f>IF(X277=0,0,(T277+V277)*R277*VLOOKUP($W$2,'Kriter Ağırlık'!$A$1:$B$8,2,1)*E277)</f>
        <v>10</v>
      </c>
      <c r="X277" s="40">
        <f>IFERROR(VLOOKUP(A277,Devamsızlıklar!A:M,13,0),1)</f>
        <v>0.85555555555555551</v>
      </c>
      <c r="Y277" s="40">
        <f>(OEE!$K$6*VLOOKUP($Y$2,'Kriter Ağırlık'!$A$1:$B$8,2,1))*X277*E277</f>
        <v>29.944444444444443</v>
      </c>
      <c r="Z277" s="40">
        <f>(TELEF!$I$10*VLOOKUP($Z$2,'Kriter Ağırlık'!$A$1:$B$8,2,1))*X277*E277</f>
        <v>12.833333333333332</v>
      </c>
      <c r="AA277" s="40">
        <f t="shared" si="24"/>
        <v>69.844444444444434</v>
      </c>
      <c r="AB277" s="1">
        <v>5</v>
      </c>
      <c r="AC277" s="33">
        <f>VLOOKUP(AB277,'Kriter Ağırlık'!$A$12:$C$17,3,0)</f>
        <v>18.5</v>
      </c>
      <c r="AD277" s="1">
        <v>5</v>
      </c>
      <c r="AE277" s="33">
        <f>VLOOKUP(AD277,'Kriter Ağırlık'!$E$12:$G$24,3,0)</f>
        <v>1</v>
      </c>
      <c r="AF277" s="92">
        <f t="shared" si="25"/>
        <v>1292.122222222222</v>
      </c>
      <c r="AG277" t="str">
        <f>VLOOKUP(A277,'Çalışan Listesi'!A:G,6,0)</f>
        <v>OPERATÖR</v>
      </c>
    </row>
    <row r="278" spans="1:33" x14ac:dyDescent="0.2">
      <c r="A278" s="2">
        <v>5244</v>
      </c>
      <c r="B278" s="3" t="s">
        <v>324</v>
      </c>
      <c r="C278" s="4">
        <v>44550</v>
      </c>
      <c r="D278" s="5">
        <f t="shared" si="22"/>
        <v>90</v>
      </c>
      <c r="E278" s="6">
        <f t="shared" si="23"/>
        <v>1</v>
      </c>
      <c r="F278" s="25" t="s">
        <v>421</v>
      </c>
      <c r="G278" s="3" t="s">
        <v>86</v>
      </c>
      <c r="H278" s="106" t="str">
        <f>VLOOKUP(A278,'Çalışan Listesi'!A:G,7,0)</f>
        <v>1.KADEME</v>
      </c>
      <c r="I278" s="65">
        <f>IFERROR(VLOOKUP(A278,'Kaizen Listesi'!A:H,8,0),0)</f>
        <v>0</v>
      </c>
      <c r="J278" s="65">
        <f>I278*VLOOKUP($I$2,'Kriter Ağırlık'!$A$1:$B$8,2,0)</f>
        <v>0</v>
      </c>
      <c r="K278" s="65">
        <f>IFERROR(VLOOKUP(A278,'Hata Kartı '!A:H,8,0),0)</f>
        <v>16.666666666666668</v>
      </c>
      <c r="L278" s="65">
        <f>K278*(VLOOKUP($K$2,'Kriter Ağırlık'!$A$1:$B$8,2,0))</f>
        <v>1.666666666666667</v>
      </c>
      <c r="M278" s="65">
        <f>IFERROR(VLOOKUP(F278,'5S'!$B$8:$E$19,4,0),0)</f>
        <v>1</v>
      </c>
      <c r="N278" s="65">
        <f>VLOOKUP(M278,'5S'!$G$8:$I$14,3,1)*VLOOKUP($M$2,'Kriter Ağırlık'!$A$1:$B$8,2,0)*E278*X278</f>
        <v>7.9111111111111114</v>
      </c>
      <c r="O278" s="1">
        <f>IFERROR(VLOOKUP(A278,Devamsızlıklar!A:K,10,0),0)</f>
        <v>0</v>
      </c>
      <c r="P278" s="40">
        <f>VLOOKUP(O278,Aralıklar!$A$2:$C$5,3,1)*VLOOKUP($O$2,'Kriter Ağırlık'!$A$1:$B$8,2,0)*E278*X278</f>
        <v>9.8888888888888893</v>
      </c>
      <c r="Q278" s="1">
        <f>IFERROR(VLOOKUP(A278,Devamsızlıklar!A:K,8,0),0)</f>
        <v>0</v>
      </c>
      <c r="R278" s="33">
        <f>VLOOKUP(Q278,Aralıklar!$E$2:$G$5,3,1)</f>
        <v>1</v>
      </c>
      <c r="S278" s="33">
        <f>IFERROR(VLOOKUP(A278,Devamsızlıklar!A:K,9,0),0)</f>
        <v>0</v>
      </c>
      <c r="T278" s="33">
        <f>VLOOKUP(S278,Aralıklar!$I$2:$K$6,3,1)</f>
        <v>50</v>
      </c>
      <c r="U278" s="33">
        <f>IFERROR(VLOOKUP(A278,Devamsızlıklar!A:K,11,0),0)</f>
        <v>1</v>
      </c>
      <c r="V278" s="33">
        <f>VLOOKUP(U278,Aralıklar!$M$2:$O$6,3,1)</f>
        <v>50</v>
      </c>
      <c r="W278" s="40">
        <f>IF(X278=0,0,(T278+V278)*R278*VLOOKUP($W$2,'Kriter Ağırlık'!$A$1:$B$8,2,1)*E278)</f>
        <v>10</v>
      </c>
      <c r="X278" s="40">
        <f>IFERROR(VLOOKUP(A278,Devamsızlıklar!A:M,13,0),1)</f>
        <v>0.98888888888888893</v>
      </c>
      <c r="Y278" s="40">
        <f>(OEE!$K$6*VLOOKUP($Y$2,'Kriter Ağırlık'!$A$1:$B$8,2,1))*X278*E278</f>
        <v>34.611111111111114</v>
      </c>
      <c r="Z278" s="40">
        <f>(TELEF!$I$10*VLOOKUP($Z$2,'Kriter Ağırlık'!$A$1:$B$8,2,1))*X278*E278</f>
        <v>14.833333333333334</v>
      </c>
      <c r="AA278" s="40">
        <f t="shared" si="24"/>
        <v>78.911111111111111</v>
      </c>
      <c r="AB278" s="1">
        <v>5</v>
      </c>
      <c r="AC278" s="33">
        <f>VLOOKUP(AB278,'Kriter Ağırlık'!$A$12:$C$17,3,0)</f>
        <v>18.5</v>
      </c>
      <c r="AD278" s="1">
        <v>5</v>
      </c>
      <c r="AE278" s="33">
        <f>VLOOKUP(AD278,'Kriter Ağırlık'!$E$12:$G$24,3,0)</f>
        <v>1</v>
      </c>
      <c r="AF278" s="92">
        <f t="shared" si="25"/>
        <v>1459.8555555555556</v>
      </c>
      <c r="AG278" t="str">
        <f>VLOOKUP(A278,'Çalışan Listesi'!A:G,6,0)</f>
        <v>OPERATÖR</v>
      </c>
    </row>
    <row r="279" spans="1:33" x14ac:dyDescent="0.2">
      <c r="A279" s="2">
        <v>5245</v>
      </c>
      <c r="B279" s="3" t="s">
        <v>325</v>
      </c>
      <c r="C279" s="4">
        <v>44550</v>
      </c>
      <c r="D279" s="5">
        <f t="shared" si="22"/>
        <v>90</v>
      </c>
      <c r="E279" s="6">
        <f t="shared" si="23"/>
        <v>1</v>
      </c>
      <c r="F279" s="25" t="s">
        <v>421</v>
      </c>
      <c r="G279" s="3" t="s">
        <v>86</v>
      </c>
      <c r="H279" s="106" t="str">
        <f>VLOOKUP(A279,'Çalışan Listesi'!A:G,7,0)</f>
        <v>1.KADEME</v>
      </c>
      <c r="I279" s="65">
        <f>IFERROR(VLOOKUP(A279,'Kaizen Listesi'!A:H,8,0),0)</f>
        <v>0</v>
      </c>
      <c r="J279" s="65">
        <f>I279*VLOOKUP($I$2,'Kriter Ağırlık'!$A$1:$B$8,2,0)</f>
        <v>0</v>
      </c>
      <c r="K279" s="65">
        <f>IFERROR(VLOOKUP(A279,'Hata Kartı '!A:H,8,0),0)</f>
        <v>0</v>
      </c>
      <c r="L279" s="65">
        <f>K279*(VLOOKUP($K$2,'Kriter Ağırlık'!$A$1:$B$8,2,0))</f>
        <v>0</v>
      </c>
      <c r="M279" s="65">
        <f>IFERROR(VLOOKUP(F279,'5S'!$B$8:$E$19,4,0),0)</f>
        <v>1</v>
      </c>
      <c r="N279" s="65">
        <f>VLOOKUP(M279,'5S'!$G$8:$I$14,3,1)*VLOOKUP($M$2,'Kriter Ağırlık'!$A$1:$B$8,2,0)*E279*X279</f>
        <v>7.4666666666666668</v>
      </c>
      <c r="O279" s="1">
        <f>IFERROR(VLOOKUP(A279,Devamsızlıklar!A:K,10,0),0)</f>
        <v>0</v>
      </c>
      <c r="P279" s="40">
        <f>VLOOKUP(O279,Aralıklar!$A$2:$C$5,3,1)*VLOOKUP($O$2,'Kriter Ağırlık'!$A$1:$B$8,2,0)*E279*X279</f>
        <v>9.3333333333333339</v>
      </c>
      <c r="Q279" s="1">
        <f>IFERROR(VLOOKUP(A279,Devamsızlıklar!A:K,8,0),0)</f>
        <v>0</v>
      </c>
      <c r="R279" s="33">
        <f>VLOOKUP(Q279,Aralıklar!$E$2:$G$5,3,1)</f>
        <v>1</v>
      </c>
      <c r="S279" s="33">
        <f>IFERROR(VLOOKUP(A279,Devamsızlıklar!A:K,9,0),0)</f>
        <v>4</v>
      </c>
      <c r="T279" s="33">
        <f>VLOOKUP(S279,Aralıklar!$I$2:$K$6,3,1)</f>
        <v>25</v>
      </c>
      <c r="U279" s="33">
        <f>IFERROR(VLOOKUP(A279,Devamsızlıklar!A:K,11,0),0)</f>
        <v>2</v>
      </c>
      <c r="V279" s="33">
        <f>VLOOKUP(U279,Aralıklar!$M$2:$O$6,3,1)</f>
        <v>25</v>
      </c>
      <c r="W279" s="40">
        <f>IF(X279=0,0,(T279+V279)*R279*VLOOKUP($W$2,'Kriter Ağırlık'!$A$1:$B$8,2,1)*E279)</f>
        <v>5</v>
      </c>
      <c r="X279" s="40">
        <f>IFERROR(VLOOKUP(A279,Devamsızlıklar!A:M,13,0),1)</f>
        <v>0.93333333333333335</v>
      </c>
      <c r="Y279" s="40">
        <f>(OEE!$K$6*VLOOKUP($Y$2,'Kriter Ağırlık'!$A$1:$B$8,2,1))*X279*E279</f>
        <v>32.666666666666664</v>
      </c>
      <c r="Z279" s="40">
        <f>(TELEF!$I$10*VLOOKUP($Z$2,'Kriter Ağırlık'!$A$1:$B$8,2,1))*X279*E279</f>
        <v>14</v>
      </c>
      <c r="AA279" s="40">
        <f t="shared" si="24"/>
        <v>68.466666666666669</v>
      </c>
      <c r="AB279" s="1">
        <v>5</v>
      </c>
      <c r="AC279" s="33">
        <f>VLOOKUP(AB279,'Kriter Ağırlık'!$A$12:$C$17,3,0)</f>
        <v>18.5</v>
      </c>
      <c r="AD279" s="76">
        <v>5</v>
      </c>
      <c r="AE279" s="33">
        <f>VLOOKUP(AD279,'Kriter Ağırlık'!$E$12:$G$24,3,0)</f>
        <v>1</v>
      </c>
      <c r="AF279" s="92">
        <f t="shared" si="25"/>
        <v>1266.6333333333334</v>
      </c>
      <c r="AG279" t="str">
        <f>VLOOKUP(A279,'Çalışan Listesi'!A:G,6,0)</f>
        <v>OPERATÖR</v>
      </c>
    </row>
    <row r="280" spans="1:33" x14ac:dyDescent="0.2">
      <c r="A280" s="2">
        <v>5262</v>
      </c>
      <c r="B280" s="3" t="s">
        <v>326</v>
      </c>
      <c r="C280" s="4">
        <v>44564</v>
      </c>
      <c r="D280" s="5">
        <f t="shared" si="22"/>
        <v>87</v>
      </c>
      <c r="E280" s="6">
        <f t="shared" si="23"/>
        <v>0.96666666666666667</v>
      </c>
      <c r="F280" s="25" t="s">
        <v>422</v>
      </c>
      <c r="G280" s="3" t="s">
        <v>54</v>
      </c>
      <c r="H280" s="106" t="str">
        <f>VLOOKUP(A280,'Çalışan Listesi'!A:G,7,0)</f>
        <v>1.KADEME</v>
      </c>
      <c r="I280" s="65">
        <f>IFERROR(VLOOKUP(A280,'Kaizen Listesi'!A:H,8,0),0)</f>
        <v>0</v>
      </c>
      <c r="J280" s="65">
        <f>I280*VLOOKUP($I$2,'Kriter Ağırlık'!$A$1:$B$8,2,0)</f>
        <v>0</v>
      </c>
      <c r="K280" s="65">
        <f>IFERROR(VLOOKUP(A280,'Hata Kartı '!A:H,8,0),0)</f>
        <v>0</v>
      </c>
      <c r="L280" s="65">
        <f>K280*(VLOOKUP($K$2,'Kriter Ağırlık'!$A$1:$B$8,2,0))</f>
        <v>0</v>
      </c>
      <c r="M280" s="65">
        <f>IFERROR(VLOOKUP(F280,'5S'!$B$8:$E$19,4,0),0)</f>
        <v>1</v>
      </c>
      <c r="N280" s="65">
        <f>VLOOKUP(M280,'5S'!$G$8:$I$14,3,1)*VLOOKUP($M$2,'Kriter Ağırlık'!$A$1:$B$8,2,0)*E280*X280</f>
        <v>7.0222222222222221</v>
      </c>
      <c r="O280" s="1">
        <f>IFERROR(VLOOKUP(A280,Devamsızlıklar!A:K,10,0),0)</f>
        <v>0</v>
      </c>
      <c r="P280" s="40">
        <f>VLOOKUP(O280,Aralıklar!$A$2:$C$5,3,1)*VLOOKUP($O$2,'Kriter Ağırlık'!$A$1:$B$8,2,0)*E280*X280</f>
        <v>8.7777777777777768</v>
      </c>
      <c r="Q280" s="1">
        <f>IFERROR(VLOOKUP(A280,Devamsızlıklar!A:K,8,0),0)</f>
        <v>0</v>
      </c>
      <c r="R280" s="33">
        <f>VLOOKUP(Q280,Aralıklar!$E$2:$G$5,3,1)</f>
        <v>1</v>
      </c>
      <c r="S280" s="33">
        <f>IFERROR(VLOOKUP(A280,Devamsızlıklar!A:K,9,0),0)</f>
        <v>7</v>
      </c>
      <c r="T280" s="33">
        <f>VLOOKUP(S280,Aralıklar!$I$2:$K$6,3,1)</f>
        <v>0</v>
      </c>
      <c r="U280" s="33">
        <f>IFERROR(VLOOKUP(A280,Devamsızlıklar!A:K,11,0),0)</f>
        <v>1</v>
      </c>
      <c r="V280" s="33">
        <f>VLOOKUP(U280,Aralıklar!$M$2:$O$6,3,1)</f>
        <v>50</v>
      </c>
      <c r="W280" s="40">
        <f>IF(X280=0,0,(T280+V280)*R280*VLOOKUP($W$2,'Kriter Ağırlık'!$A$1:$B$8,2,1)*E280)</f>
        <v>4.833333333333333</v>
      </c>
      <c r="X280" s="40">
        <f>IFERROR(VLOOKUP(A280,Devamsızlıklar!A:M,13,0),1)</f>
        <v>0.90804597701149425</v>
      </c>
      <c r="Y280" s="40">
        <f>(OEE!$K$6*VLOOKUP($Y$2,'Kriter Ağırlık'!$A$1:$B$8,2,1))*X280*E280</f>
        <v>30.722222222222225</v>
      </c>
      <c r="Z280" s="40">
        <f>(TELEF!$I$10*VLOOKUP($Z$2,'Kriter Ağırlık'!$A$1:$B$8,2,1))*X280*E280</f>
        <v>13.166666666666668</v>
      </c>
      <c r="AA280" s="40">
        <f t="shared" si="24"/>
        <v>64.522222222222226</v>
      </c>
      <c r="AB280" s="1">
        <v>5</v>
      </c>
      <c r="AC280" s="33">
        <f>VLOOKUP(AB280,'Kriter Ağırlık'!$A$12:$C$17,3,0)</f>
        <v>18.5</v>
      </c>
      <c r="AD280" s="1">
        <v>5</v>
      </c>
      <c r="AE280" s="33">
        <f>VLOOKUP(AD280,'Kriter Ağırlık'!$E$12:$G$24,3,0)</f>
        <v>1</v>
      </c>
      <c r="AF280" s="92">
        <f t="shared" si="25"/>
        <v>1193.6611111111113</v>
      </c>
      <c r="AG280" t="str">
        <f>VLOOKUP(A280,'Çalışan Listesi'!A:G,6,0)</f>
        <v>OPERATÖR</v>
      </c>
    </row>
    <row r="281" spans="1:33" x14ac:dyDescent="0.2">
      <c r="A281" s="2">
        <v>5265</v>
      </c>
      <c r="B281" s="3" t="s">
        <v>327</v>
      </c>
      <c r="C281" s="4">
        <v>44564</v>
      </c>
      <c r="D281" s="5">
        <f t="shared" si="22"/>
        <v>87</v>
      </c>
      <c r="E281" s="6">
        <f t="shared" si="23"/>
        <v>0.96666666666666667</v>
      </c>
      <c r="F281" s="25" t="s">
        <v>421</v>
      </c>
      <c r="G281" s="3" t="s">
        <v>10</v>
      </c>
      <c r="H281" s="106" t="str">
        <f>VLOOKUP(A281,'Çalışan Listesi'!A:G,7,0)</f>
        <v>1.KADEME</v>
      </c>
      <c r="I281" s="65">
        <f>IFERROR(VLOOKUP(A281,'Kaizen Listesi'!A:H,8,0),0)</f>
        <v>0</v>
      </c>
      <c r="J281" s="65">
        <f>I281*VLOOKUP($I$2,'Kriter Ağırlık'!$A$1:$B$8,2,0)</f>
        <v>0</v>
      </c>
      <c r="K281" s="65">
        <f>IFERROR(VLOOKUP(A281,'Hata Kartı '!A:H,8,0),0)</f>
        <v>16.666666666666668</v>
      </c>
      <c r="L281" s="65">
        <f>K281*(VLOOKUP($K$2,'Kriter Ağırlık'!$A$1:$B$8,2,0))</f>
        <v>1.666666666666667</v>
      </c>
      <c r="M281" s="65">
        <f>IFERROR(VLOOKUP(F281,'5S'!$B$8:$E$19,4,0),0)</f>
        <v>1</v>
      </c>
      <c r="N281" s="65">
        <f>VLOOKUP(M281,'5S'!$G$8:$I$14,3,1)*VLOOKUP($M$2,'Kriter Ağırlık'!$A$1:$B$8,2,0)*E281*X281</f>
        <v>7.5555555555555562</v>
      </c>
      <c r="O281" s="76">
        <f>IFERROR(VLOOKUP(A281,Devamsızlıklar!A:K,10,0),0)</f>
        <v>0</v>
      </c>
      <c r="P281" s="40">
        <f>VLOOKUP(O281,Aralıklar!$A$2:$C$5,3,1)*VLOOKUP($O$2,'Kriter Ağırlık'!$A$1:$B$8,2,0)*E281*X281</f>
        <v>9.4444444444444446</v>
      </c>
      <c r="Q281" s="76">
        <f>IFERROR(VLOOKUP(A281,Devamsızlıklar!A:K,8,0),0)</f>
        <v>0</v>
      </c>
      <c r="R281" s="76">
        <f>VLOOKUP(Q281,Aralıklar!$E$2:$G$5,3,1)</f>
        <v>1</v>
      </c>
      <c r="S281" s="76">
        <f>IFERROR(VLOOKUP(A281,Devamsızlıklar!A:K,9,0),0)</f>
        <v>0</v>
      </c>
      <c r="T281" s="76">
        <f>VLOOKUP(S281,Aralıklar!$I$2:$K$6,3,1)</f>
        <v>50</v>
      </c>
      <c r="U281" s="76">
        <f>IFERROR(VLOOKUP(A281,Devamsızlıklar!A:K,11,0),0)</f>
        <v>2</v>
      </c>
      <c r="V281" s="76">
        <f>VLOOKUP(U281,Aralıklar!$M$2:$O$6,3,1)</f>
        <v>25</v>
      </c>
      <c r="W281" s="40">
        <f>IF(X281=0,0,(T281+V281)*R281*VLOOKUP($W$2,'Kriter Ağırlık'!$A$1:$B$8,2,1)*E281)</f>
        <v>7.25</v>
      </c>
      <c r="X281" s="40">
        <f>IFERROR(VLOOKUP(A281,Devamsızlıklar!A:M,13,0),1)</f>
        <v>0.97701149425287359</v>
      </c>
      <c r="Y281" s="40">
        <f>(OEE!$K$6*VLOOKUP($Y$2,'Kriter Ağırlık'!$A$1:$B$8,2,1))*X281*E281</f>
        <v>33.055555555555557</v>
      </c>
      <c r="Z281" s="40">
        <f>(TELEF!$I$10*VLOOKUP($Z$2,'Kriter Ağırlık'!$A$1:$B$8,2,1))*X281*E281</f>
        <v>14.166666666666666</v>
      </c>
      <c r="AA281" s="40">
        <f t="shared" si="24"/>
        <v>73.1388888888889</v>
      </c>
      <c r="AB281" s="76">
        <v>5</v>
      </c>
      <c r="AC281" s="76">
        <f>VLOOKUP(AB281,'Kriter Ağırlık'!$A$12:$C$17,3,0)</f>
        <v>18.5</v>
      </c>
      <c r="AD281" s="76">
        <v>5</v>
      </c>
      <c r="AE281" s="76">
        <f>VLOOKUP(AD281,'Kriter Ağırlık'!$E$12:$G$24,3,0)</f>
        <v>1</v>
      </c>
      <c r="AF281" s="92">
        <f t="shared" si="25"/>
        <v>1353.0694444444446</v>
      </c>
      <c r="AG281" t="str">
        <f>VLOOKUP(A281,'Çalışan Listesi'!A:G,6,0)</f>
        <v>OPERATÖR</v>
      </c>
    </row>
    <row r="282" spans="1:33" x14ac:dyDescent="0.2">
      <c r="A282" s="2">
        <v>5266</v>
      </c>
      <c r="B282" s="3" t="s">
        <v>328</v>
      </c>
      <c r="C282" s="4">
        <v>44564</v>
      </c>
      <c r="D282" s="5">
        <f t="shared" si="22"/>
        <v>87</v>
      </c>
      <c r="E282" s="6">
        <f t="shared" si="23"/>
        <v>0.96666666666666667</v>
      </c>
      <c r="F282" s="25" t="s">
        <v>421</v>
      </c>
      <c r="G282" s="3" t="s">
        <v>10</v>
      </c>
      <c r="H282" s="106" t="str">
        <f>VLOOKUP(A282,'Çalışan Listesi'!A:G,7,0)</f>
        <v>1.KADEME</v>
      </c>
      <c r="I282" s="65">
        <f>IFERROR(VLOOKUP(A282,'Kaizen Listesi'!A:H,8,0),0)</f>
        <v>0</v>
      </c>
      <c r="J282" s="65">
        <f>I282*VLOOKUP($I$2,'Kriter Ağırlık'!$A$1:$B$8,2,0)</f>
        <v>0</v>
      </c>
      <c r="K282" s="65">
        <f>IFERROR(VLOOKUP(A282,'Hata Kartı '!A:H,8,0),0)</f>
        <v>0</v>
      </c>
      <c r="L282" s="65">
        <f>K282*(VLOOKUP($K$2,'Kriter Ağırlık'!$A$1:$B$8,2,0))</f>
        <v>0</v>
      </c>
      <c r="M282" s="65">
        <f>IFERROR(VLOOKUP(F282,'5S'!$B$8:$E$19,4,0),0)</f>
        <v>1</v>
      </c>
      <c r="N282" s="65">
        <f>VLOOKUP(M282,'5S'!$G$8:$I$14,3,1)*VLOOKUP($M$2,'Kriter Ağırlık'!$A$1:$B$8,2,0)*E282*X282</f>
        <v>7.7333333333333334</v>
      </c>
      <c r="O282" s="76">
        <f>IFERROR(VLOOKUP(A282,Devamsızlıklar!A:K,10,0),0)</f>
        <v>0</v>
      </c>
      <c r="P282" s="40">
        <f>VLOOKUP(O282,Aralıklar!$A$2:$C$5,3,1)*VLOOKUP($O$2,'Kriter Ağırlık'!$A$1:$B$8,2,0)*E282*X282</f>
        <v>9.6666666666666661</v>
      </c>
      <c r="Q282" s="76">
        <f>IFERROR(VLOOKUP(A282,Devamsızlıklar!A:K,8,0),0)</f>
        <v>0</v>
      </c>
      <c r="R282" s="76">
        <f>VLOOKUP(Q282,Aralıklar!$E$2:$G$5,3,1)</f>
        <v>1</v>
      </c>
      <c r="S282" s="76">
        <f>IFERROR(VLOOKUP(A282,Devamsızlıklar!A:K,9,0),0)</f>
        <v>0</v>
      </c>
      <c r="T282" s="76">
        <f>VLOOKUP(S282,Aralıklar!$I$2:$K$6,3,1)</f>
        <v>50</v>
      </c>
      <c r="U282" s="76">
        <f>IFERROR(VLOOKUP(A282,Devamsızlıklar!A:K,11,0),0)</f>
        <v>0</v>
      </c>
      <c r="V282" s="76">
        <f>VLOOKUP(U282,Aralıklar!$M$2:$O$6,3,1)</f>
        <v>50</v>
      </c>
      <c r="W282" s="40">
        <f>IF(X282=0,0,(T282+V282)*R282*VLOOKUP($W$2,'Kriter Ağırlık'!$A$1:$B$8,2,1)*E282)</f>
        <v>9.6666666666666661</v>
      </c>
      <c r="X282" s="40">
        <f>IFERROR(VLOOKUP(A282,Devamsızlıklar!A:M,13,0),1)</f>
        <v>1</v>
      </c>
      <c r="Y282" s="40">
        <f>(OEE!$K$6*VLOOKUP($Y$2,'Kriter Ağırlık'!$A$1:$B$8,2,1))*X282*E282</f>
        <v>33.833333333333336</v>
      </c>
      <c r="Z282" s="40">
        <f>(TELEF!$I$10*VLOOKUP($Z$2,'Kriter Ağırlık'!$A$1:$B$8,2,1))*X282*E282</f>
        <v>14.5</v>
      </c>
      <c r="AA282" s="40">
        <f t="shared" si="24"/>
        <v>75.400000000000006</v>
      </c>
      <c r="AB282" s="76">
        <v>5</v>
      </c>
      <c r="AC282" s="76">
        <f>VLOOKUP(AB282,'Kriter Ağırlık'!$A$12:$C$17,3,0)</f>
        <v>18.5</v>
      </c>
      <c r="AD282" s="76">
        <v>5</v>
      </c>
      <c r="AE282" s="76">
        <f>VLOOKUP(AD282,'Kriter Ağırlık'!$E$12:$G$24,3,0)</f>
        <v>1</v>
      </c>
      <c r="AF282" s="92">
        <f t="shared" si="25"/>
        <v>1394.9</v>
      </c>
      <c r="AG282" t="str">
        <f>VLOOKUP(A282,'Çalışan Listesi'!A:G,6,0)</f>
        <v>OPERATÖR</v>
      </c>
    </row>
    <row r="283" spans="1:33" x14ac:dyDescent="0.2">
      <c r="A283" s="2">
        <v>5268</v>
      </c>
      <c r="B283" s="3" t="s">
        <v>329</v>
      </c>
      <c r="C283" s="4">
        <v>44564</v>
      </c>
      <c r="D283" s="5">
        <f t="shared" ref="D283:D314" si="26">IF($AI$2-C283&gt;=90,90,$AI$2-C283)</f>
        <v>87</v>
      </c>
      <c r="E283" s="6">
        <f t="shared" si="23"/>
        <v>0.96666666666666667</v>
      </c>
      <c r="F283" s="25" t="s">
        <v>421</v>
      </c>
      <c r="G283" s="3" t="s">
        <v>10</v>
      </c>
      <c r="H283" s="106" t="str">
        <f>VLOOKUP(A283,'Çalışan Listesi'!A:G,7,0)</f>
        <v>1.KADEME</v>
      </c>
      <c r="I283" s="65">
        <f>IFERROR(VLOOKUP(A283,'Kaizen Listesi'!A:H,8,0),0)</f>
        <v>0</v>
      </c>
      <c r="J283" s="65">
        <f>I283*VLOOKUP($I$2,'Kriter Ağırlık'!$A$1:$B$8,2,0)</f>
        <v>0</v>
      </c>
      <c r="K283" s="65">
        <f>IFERROR(VLOOKUP(A283,'Hata Kartı '!A:H,8,0),0)</f>
        <v>0</v>
      </c>
      <c r="L283" s="65">
        <f>K283*(VLOOKUP($K$2,'Kriter Ağırlık'!$A$1:$B$8,2,0))</f>
        <v>0</v>
      </c>
      <c r="M283" s="65">
        <f>IFERROR(VLOOKUP(F283,'5S'!$B$8:$E$19,4,0),0)</f>
        <v>1</v>
      </c>
      <c r="N283" s="65">
        <f>VLOOKUP(M283,'5S'!$G$8:$I$14,3,1)*VLOOKUP($M$2,'Kriter Ağırlık'!$A$1:$B$8,2,0)*E283*X283</f>
        <v>7.5555555555555562</v>
      </c>
      <c r="O283" s="76">
        <f>IFERROR(VLOOKUP(A283,Devamsızlıklar!A:K,10,0),0)</f>
        <v>0</v>
      </c>
      <c r="P283" s="40">
        <f>VLOOKUP(O283,Aralıklar!$A$2:$C$5,3,1)*VLOOKUP($O$2,'Kriter Ağırlık'!$A$1:$B$8,2,0)*E283*X283</f>
        <v>9.4444444444444446</v>
      </c>
      <c r="Q283" s="76">
        <f>IFERROR(VLOOKUP(A283,Devamsızlıklar!A:K,8,0),0)</f>
        <v>0</v>
      </c>
      <c r="R283" s="76">
        <f>VLOOKUP(Q283,Aralıklar!$E$2:$G$5,3,1)</f>
        <v>1</v>
      </c>
      <c r="S283" s="76">
        <f>IFERROR(VLOOKUP(A283,Devamsızlıklar!A:K,9,0),0)</f>
        <v>0</v>
      </c>
      <c r="T283" s="76">
        <f>VLOOKUP(S283,Aralıklar!$I$2:$K$6,3,1)</f>
        <v>50</v>
      </c>
      <c r="U283" s="76">
        <f>IFERROR(VLOOKUP(A283,Devamsızlıklar!A:K,11,0),0)</f>
        <v>2</v>
      </c>
      <c r="V283" s="76">
        <f>VLOOKUP(U283,Aralıklar!$M$2:$O$6,3,1)</f>
        <v>25</v>
      </c>
      <c r="W283" s="40">
        <f>IF(X283=0,0,(T283+V283)*R283*VLOOKUP($W$2,'Kriter Ağırlık'!$A$1:$B$8,2,1)*E283)</f>
        <v>7.25</v>
      </c>
      <c r="X283" s="40">
        <f>IFERROR(VLOOKUP(A283,Devamsızlıklar!A:M,13,0),1)</f>
        <v>0.97701149425287359</v>
      </c>
      <c r="Y283" s="40">
        <f>(OEE!$K$6*VLOOKUP($Y$2,'Kriter Ağırlık'!$A$1:$B$8,2,1))*X283*E283</f>
        <v>33.055555555555557</v>
      </c>
      <c r="Z283" s="40">
        <f>(TELEF!$I$10*VLOOKUP($Z$2,'Kriter Ağırlık'!$A$1:$B$8,2,1))*X283*E283</f>
        <v>14.166666666666666</v>
      </c>
      <c r="AA283" s="40">
        <f t="shared" si="24"/>
        <v>71.472222222222229</v>
      </c>
      <c r="AB283" s="76">
        <v>5</v>
      </c>
      <c r="AC283" s="76">
        <f>VLOOKUP(AB283,'Kriter Ağırlık'!$A$12:$C$17,3,0)</f>
        <v>18.5</v>
      </c>
      <c r="AD283" s="76">
        <v>5</v>
      </c>
      <c r="AE283" s="76">
        <f>VLOOKUP(AD283,'Kriter Ağırlık'!$E$12:$G$24,3,0)</f>
        <v>1</v>
      </c>
      <c r="AF283" s="92">
        <f t="shared" si="25"/>
        <v>1322.2361111111113</v>
      </c>
      <c r="AG283" t="str">
        <f>VLOOKUP(A283,'Çalışan Listesi'!A:G,6,0)</f>
        <v>OPERATÖR</v>
      </c>
    </row>
    <row r="284" spans="1:33" x14ac:dyDescent="0.2">
      <c r="A284" s="2">
        <v>5274</v>
      </c>
      <c r="B284" s="3" t="s">
        <v>330</v>
      </c>
      <c r="C284" s="4">
        <v>44571</v>
      </c>
      <c r="D284" s="5">
        <f t="shared" si="26"/>
        <v>80</v>
      </c>
      <c r="E284" s="6">
        <f t="shared" si="23"/>
        <v>0.88888888888888884</v>
      </c>
      <c r="F284" s="25" t="s">
        <v>421</v>
      </c>
      <c r="G284" s="3" t="s">
        <v>10</v>
      </c>
      <c r="H284" s="106" t="str">
        <f>VLOOKUP(A284,'Çalışan Listesi'!A:G,7,0)</f>
        <v>1.KADEME</v>
      </c>
      <c r="I284" s="65">
        <f>IFERROR(VLOOKUP(A284,'Kaizen Listesi'!A:H,8,0),0)</f>
        <v>0</v>
      </c>
      <c r="J284" s="65">
        <f>I284*VLOOKUP($I$2,'Kriter Ağırlık'!$A$1:$B$8,2,0)</f>
        <v>0</v>
      </c>
      <c r="K284" s="65">
        <f>IFERROR(VLOOKUP(A284,'Hata Kartı '!A:H,8,0),0)</f>
        <v>16.666666666666668</v>
      </c>
      <c r="L284" s="65">
        <f>K284*(VLOOKUP($K$2,'Kriter Ağırlık'!$A$1:$B$8,2,0))</f>
        <v>1.666666666666667</v>
      </c>
      <c r="M284" s="65">
        <f>IFERROR(VLOOKUP(F284,'5S'!$B$8:$E$19,4,0),0)</f>
        <v>1</v>
      </c>
      <c r="N284" s="65">
        <f>VLOOKUP(M284,'5S'!$G$8:$I$14,3,1)*VLOOKUP($M$2,'Kriter Ağırlık'!$A$1:$B$8,2,0)*E284*X284</f>
        <v>7.0222222222222221</v>
      </c>
      <c r="O284" s="1">
        <f>IFERROR(VLOOKUP(A284,Devamsızlıklar!A:K,10,0),0)</f>
        <v>0</v>
      </c>
      <c r="P284" s="40">
        <f>VLOOKUP(O284,Aralıklar!$A$2:$C$5,3,1)*VLOOKUP($O$2,'Kriter Ağırlık'!$A$1:$B$8,2,0)*E284*X284</f>
        <v>8.7777777777777786</v>
      </c>
      <c r="Q284" s="1">
        <f>IFERROR(VLOOKUP(A284,Devamsızlıklar!A:K,8,0),0)</f>
        <v>0</v>
      </c>
      <c r="R284" s="33">
        <f>VLOOKUP(Q284,Aralıklar!$E$2:$G$5,3,1)</f>
        <v>1</v>
      </c>
      <c r="S284" s="33">
        <f>IFERROR(VLOOKUP(A284,Devamsızlıklar!A:K,9,0),0)</f>
        <v>0</v>
      </c>
      <c r="T284" s="33">
        <f>VLOOKUP(S284,Aralıklar!$I$2:$K$6,3,1)</f>
        <v>50</v>
      </c>
      <c r="U284" s="33">
        <f>IFERROR(VLOOKUP(A284,Devamsızlıklar!A:K,11,0),0)</f>
        <v>1</v>
      </c>
      <c r="V284" s="33">
        <f>VLOOKUP(U284,Aralıklar!$M$2:$O$6,3,1)</f>
        <v>50</v>
      </c>
      <c r="W284" s="40">
        <f>IF(X284=0,0,(T284+V284)*R284*VLOOKUP($W$2,'Kriter Ağırlık'!$A$1:$B$8,2,1)*E284)</f>
        <v>8.8888888888888893</v>
      </c>
      <c r="X284" s="40">
        <f>IFERROR(VLOOKUP(A284,Devamsızlıklar!A:M,13,0),1)</f>
        <v>0.98750000000000004</v>
      </c>
      <c r="Y284" s="40">
        <f>(OEE!$K$6*VLOOKUP($Y$2,'Kriter Ağırlık'!$A$1:$B$8,2,1))*X284*E284</f>
        <v>30.722222222222221</v>
      </c>
      <c r="Z284" s="40">
        <f>(TELEF!$I$10*VLOOKUP($Z$2,'Kriter Ağırlık'!$A$1:$B$8,2,1))*X284*E284</f>
        <v>13.166666666666666</v>
      </c>
      <c r="AA284" s="40">
        <f t="shared" si="24"/>
        <v>70.244444444444454</v>
      </c>
      <c r="AB284" s="1">
        <v>5</v>
      </c>
      <c r="AC284" s="33">
        <f>VLOOKUP(AB284,'Kriter Ağırlık'!$A$12:$C$17,3,0)</f>
        <v>18.5</v>
      </c>
      <c r="AD284" s="76">
        <v>5</v>
      </c>
      <c r="AE284" s="33">
        <f>VLOOKUP(AD284,'Kriter Ağırlık'!$E$12:$G$24,3,0)</f>
        <v>1</v>
      </c>
      <c r="AF284" s="92">
        <f t="shared" si="25"/>
        <v>1299.5222222222224</v>
      </c>
      <c r="AG284" t="str">
        <f>VLOOKUP(A284,'Çalışan Listesi'!A:G,6,0)</f>
        <v>OPERATÖR</v>
      </c>
    </row>
    <row r="285" spans="1:33" x14ac:dyDescent="0.2">
      <c r="A285" s="2">
        <v>5275</v>
      </c>
      <c r="B285" s="3" t="s">
        <v>331</v>
      </c>
      <c r="C285" s="4">
        <v>44571</v>
      </c>
      <c r="D285" s="5">
        <f t="shared" si="26"/>
        <v>80</v>
      </c>
      <c r="E285" s="6">
        <f t="shared" si="23"/>
        <v>0.88888888888888884</v>
      </c>
      <c r="F285" s="25" t="s">
        <v>422</v>
      </c>
      <c r="G285" s="3" t="s">
        <v>54</v>
      </c>
      <c r="H285" s="106" t="str">
        <f>VLOOKUP(A285,'Çalışan Listesi'!A:G,7,0)</f>
        <v>1.KADEME</v>
      </c>
      <c r="I285" s="65">
        <f>IFERROR(VLOOKUP(A285,'Kaizen Listesi'!A:H,8,0),0)</f>
        <v>0</v>
      </c>
      <c r="J285" s="65">
        <f>I285*VLOOKUP($I$2,'Kriter Ağırlık'!$A$1:$B$8,2,0)</f>
        <v>0</v>
      </c>
      <c r="K285" s="65">
        <f>IFERROR(VLOOKUP(A285,'Hata Kartı '!A:H,8,0),0)</f>
        <v>0</v>
      </c>
      <c r="L285" s="65">
        <f>K285*(VLOOKUP($K$2,'Kriter Ağırlık'!$A$1:$B$8,2,0))</f>
        <v>0</v>
      </c>
      <c r="M285" s="65">
        <f>IFERROR(VLOOKUP(F285,'5S'!$B$8:$E$19,4,0),0)</f>
        <v>1</v>
      </c>
      <c r="N285" s="65">
        <f>VLOOKUP(M285,'5S'!$G$8:$I$14,3,1)*VLOOKUP($M$2,'Kriter Ağırlık'!$A$1:$B$8,2,0)*E285*X285</f>
        <v>6.8444444444444441</v>
      </c>
      <c r="O285" s="1">
        <f>IFERROR(VLOOKUP(A285,Devamsızlıklar!A:K,10,0),0)</f>
        <v>0</v>
      </c>
      <c r="P285" s="40">
        <f>VLOOKUP(O285,Aralıklar!$A$2:$C$5,3,1)*VLOOKUP($O$2,'Kriter Ağırlık'!$A$1:$B$8,2,0)*E285*X285</f>
        <v>8.5555555555555554</v>
      </c>
      <c r="Q285" s="1">
        <f>IFERROR(VLOOKUP(A285,Devamsızlıklar!A:K,8,0),0)</f>
        <v>1</v>
      </c>
      <c r="R285" s="33">
        <f>VLOOKUP(Q285,Aralıklar!$E$2:$G$5,3,1)</f>
        <v>0</v>
      </c>
      <c r="S285" s="33">
        <f>IFERROR(VLOOKUP(A285,Devamsızlıklar!A:K,9,0),0)</f>
        <v>1</v>
      </c>
      <c r="T285" s="33">
        <f>VLOOKUP(S285,Aralıklar!$I$2:$K$6,3,1)</f>
        <v>50</v>
      </c>
      <c r="U285" s="33">
        <f>IFERROR(VLOOKUP(A285,Devamsızlıklar!A:K,11,0),0)</f>
        <v>1</v>
      </c>
      <c r="V285" s="33">
        <f>VLOOKUP(U285,Aralıklar!$M$2:$O$6,3,1)</f>
        <v>50</v>
      </c>
      <c r="W285" s="40">
        <f>IF(X285=0,0,(T285+V285)*R285*VLOOKUP($W$2,'Kriter Ağırlık'!$A$1:$B$8,2,1)*E285)</f>
        <v>0</v>
      </c>
      <c r="X285" s="40">
        <f>IFERROR(VLOOKUP(A285,Devamsızlıklar!A:M,13,0),1)</f>
        <v>0.96250000000000002</v>
      </c>
      <c r="Y285" s="40">
        <f>(OEE!$K$6*VLOOKUP($Y$2,'Kriter Ağırlık'!$A$1:$B$8,2,1))*X285*E285</f>
        <v>29.944444444444443</v>
      </c>
      <c r="Z285" s="40">
        <f>(TELEF!$I$10*VLOOKUP($Z$2,'Kriter Ağırlık'!$A$1:$B$8,2,1))*X285*E285</f>
        <v>12.833333333333332</v>
      </c>
      <c r="AA285" s="40">
        <f t="shared" si="24"/>
        <v>58.177777777777777</v>
      </c>
      <c r="AB285" s="1">
        <v>5</v>
      </c>
      <c r="AC285" s="33">
        <f>VLOOKUP(AB285,'Kriter Ağırlık'!$A$12:$C$17,3,0)</f>
        <v>18.5</v>
      </c>
      <c r="AD285" s="1">
        <v>5</v>
      </c>
      <c r="AE285" s="33">
        <f>VLOOKUP(AD285,'Kriter Ağırlık'!$E$12:$G$24,3,0)</f>
        <v>1</v>
      </c>
      <c r="AF285" s="92">
        <f t="shared" si="25"/>
        <v>1076.2888888888888</v>
      </c>
      <c r="AG285" t="str">
        <f>VLOOKUP(A285,'Çalışan Listesi'!A:G,6,0)</f>
        <v>OPERATÖR</v>
      </c>
    </row>
    <row r="286" spans="1:33" x14ac:dyDescent="0.2">
      <c r="A286" s="2">
        <v>5277</v>
      </c>
      <c r="B286" s="3" t="s">
        <v>332</v>
      </c>
      <c r="C286" s="4">
        <v>44571</v>
      </c>
      <c r="D286" s="5">
        <f t="shared" si="26"/>
        <v>80</v>
      </c>
      <c r="E286" s="6">
        <f t="shared" si="23"/>
        <v>0.88888888888888884</v>
      </c>
      <c r="F286" s="25" t="s">
        <v>429</v>
      </c>
      <c r="G286" s="3" t="s">
        <v>46</v>
      </c>
      <c r="H286" s="106" t="str">
        <f>VLOOKUP(A286,'Çalışan Listesi'!A:G,7,0)</f>
        <v>1.KADEME</v>
      </c>
      <c r="I286" s="65">
        <f>IFERROR(VLOOKUP(A286,'Kaizen Listesi'!A:H,8,0),0)</f>
        <v>0</v>
      </c>
      <c r="J286" s="65">
        <f>I286*VLOOKUP($I$2,'Kriter Ağırlık'!$A$1:$B$8,2,0)</f>
        <v>0</v>
      </c>
      <c r="K286" s="65">
        <f>IFERROR(VLOOKUP(A286,'Hata Kartı '!A:H,8,0),0)</f>
        <v>0</v>
      </c>
      <c r="L286" s="65">
        <f>K286*(VLOOKUP($K$2,'Kriter Ağırlık'!$A$1:$B$8,2,0))</f>
        <v>0</v>
      </c>
      <c r="M286" s="65">
        <f>IFERROR(VLOOKUP(F286,'5S'!$B$8:$E$19,4,0),0)</f>
        <v>1</v>
      </c>
      <c r="N286" s="65">
        <f>VLOOKUP(M286,'5S'!$G$8:$I$14,3,1)*VLOOKUP($M$2,'Kriter Ağırlık'!$A$1:$B$8,2,0)*E286*X286</f>
        <v>7.1111111111111107</v>
      </c>
      <c r="O286" s="76">
        <f>IFERROR(VLOOKUP(A286,Devamsızlıklar!A:K,10,0),0)</f>
        <v>0</v>
      </c>
      <c r="P286" s="40">
        <f>VLOOKUP(O286,Aralıklar!$A$2:$C$5,3,1)*VLOOKUP($O$2,'Kriter Ağırlık'!$A$1:$B$8,2,0)*E286*X286</f>
        <v>8.8888888888888893</v>
      </c>
      <c r="Q286" s="76">
        <f>IFERROR(VLOOKUP(A286,Devamsızlıklar!A:K,8,0),0)</f>
        <v>0</v>
      </c>
      <c r="R286" s="76">
        <f>VLOOKUP(Q286,Aralıklar!$E$2:$G$5,3,1)</f>
        <v>1</v>
      </c>
      <c r="S286" s="76">
        <f>IFERROR(VLOOKUP(A286,Devamsızlıklar!A:K,9,0),0)</f>
        <v>0</v>
      </c>
      <c r="T286" s="76">
        <f>VLOOKUP(S286,Aralıklar!$I$2:$K$6,3,1)</f>
        <v>50</v>
      </c>
      <c r="U286" s="76">
        <f>IFERROR(VLOOKUP(A286,Devamsızlıklar!A:K,11,0),0)</f>
        <v>0</v>
      </c>
      <c r="V286" s="76">
        <f>VLOOKUP(U286,Aralıklar!$M$2:$O$6,3,1)</f>
        <v>50</v>
      </c>
      <c r="W286" s="40">
        <f>IF(X286=0,0,(T286+V286)*R286*VLOOKUP($W$2,'Kriter Ağırlık'!$A$1:$B$8,2,1)*E286)</f>
        <v>8.8888888888888893</v>
      </c>
      <c r="X286" s="40">
        <f>IFERROR(VLOOKUP(A286,Devamsızlıklar!A:M,13,0),1)</f>
        <v>1</v>
      </c>
      <c r="Y286" s="40">
        <f>(OEE!$K$6*VLOOKUP($Y$2,'Kriter Ağırlık'!$A$1:$B$8,2,1))*X286*E286</f>
        <v>31.111111111111111</v>
      </c>
      <c r="Z286" s="40">
        <f>(TELEF!$I$10*VLOOKUP($Z$2,'Kriter Ağırlık'!$A$1:$B$8,2,1))*X286*E286</f>
        <v>13.333333333333332</v>
      </c>
      <c r="AA286" s="40">
        <f t="shared" si="24"/>
        <v>69.333333333333329</v>
      </c>
      <c r="AB286" s="76">
        <v>5</v>
      </c>
      <c r="AC286" s="76">
        <f>VLOOKUP(AB286,'Kriter Ağırlık'!$A$12:$C$17,3,0)</f>
        <v>18.5</v>
      </c>
      <c r="AD286" s="76">
        <v>5</v>
      </c>
      <c r="AE286" s="76">
        <f>VLOOKUP(AD286,'Kriter Ağırlık'!$E$12:$G$24,3,0)</f>
        <v>1</v>
      </c>
      <c r="AF286" s="92">
        <f t="shared" si="25"/>
        <v>1282.6666666666665</v>
      </c>
      <c r="AG286" t="str">
        <f>VLOOKUP(A286,'Çalışan Listesi'!A:G,6,0)</f>
        <v>OPERATÖR</v>
      </c>
    </row>
    <row r="287" spans="1:33" s="103" customFormat="1" x14ac:dyDescent="0.2">
      <c r="A287" s="93">
        <v>5278</v>
      </c>
      <c r="B287" s="94" t="s">
        <v>333</v>
      </c>
      <c r="C287" s="95">
        <v>44571</v>
      </c>
      <c r="D287" s="96">
        <f t="shared" si="26"/>
        <v>80</v>
      </c>
      <c r="E287" s="97">
        <f t="shared" si="23"/>
        <v>0.88888888888888884</v>
      </c>
      <c r="F287" s="98" t="s">
        <v>421</v>
      </c>
      <c r="G287" s="94" t="s">
        <v>86</v>
      </c>
      <c r="H287" s="106" t="str">
        <f>VLOOKUP(A287,'Çalışan Listesi'!A:G,7,0)</f>
        <v>1.KADEME</v>
      </c>
      <c r="I287" s="100">
        <f>IFERROR(VLOOKUP(A287,'Kaizen Listesi'!A:H,8,0),0)</f>
        <v>0</v>
      </c>
      <c r="J287" s="100">
        <f>I287*VLOOKUP($I$2,'Kriter Ağırlık'!$A$1:$B$8,2,0)</f>
        <v>0</v>
      </c>
      <c r="K287" s="100">
        <f>IFERROR(VLOOKUP(A287,'Hata Kartı '!A:H,8,0),0)</f>
        <v>0</v>
      </c>
      <c r="L287" s="100">
        <f>K287*(VLOOKUP($K$2,'Kriter Ağırlık'!$A$1:$B$8,2,0))</f>
        <v>0</v>
      </c>
      <c r="M287" s="100">
        <f>IFERROR(VLOOKUP(F287,'5S'!$B$8:$E$19,4,0),0)</f>
        <v>1</v>
      </c>
      <c r="N287" s="100">
        <f>VLOOKUP(M287,'5S'!$G$8:$I$14,3,1)*VLOOKUP($M$2,'Kriter Ağırlık'!$A$1:$B$8,2,0)*E287*X287</f>
        <v>6.31111111111111</v>
      </c>
      <c r="O287" s="99">
        <f>IFERROR(VLOOKUP(A287,Devamsızlıklar!A:K,10,0),0)</f>
        <v>0</v>
      </c>
      <c r="P287" s="101">
        <f>VLOOKUP(O287,Aralıklar!$A$2:$C$5,3,1)*VLOOKUP($O$2,'Kriter Ağırlık'!$A$1:$B$8,2,0)*E287*X287</f>
        <v>7.8888888888888893</v>
      </c>
      <c r="Q287" s="99">
        <f>IFERROR(VLOOKUP(A287,Devamsızlıklar!A:K,8,0),0)</f>
        <v>0</v>
      </c>
      <c r="R287" s="99">
        <f>VLOOKUP(Q287,Aralıklar!$E$2:$G$5,3,1)</f>
        <v>1</v>
      </c>
      <c r="S287" s="99">
        <f>IFERROR(VLOOKUP(A287,Devamsızlıklar!A:K,9,0),0)</f>
        <v>1</v>
      </c>
      <c r="T287" s="99">
        <f>VLOOKUP(S287,Aralıklar!$I$2:$K$6,3,1)</f>
        <v>50</v>
      </c>
      <c r="U287" s="99">
        <f>IFERROR(VLOOKUP(A287,Devamsızlıklar!A:K,11,0),0)</f>
        <v>1</v>
      </c>
      <c r="V287" s="99">
        <f>VLOOKUP(U287,Aralıklar!$M$2:$O$6,3,1)</f>
        <v>50</v>
      </c>
      <c r="W287" s="40">
        <f>IF(X287=0,0,(T287+V287)*R287*VLOOKUP($W$2,'Kriter Ağırlık'!$A$1:$B$8,2,1)*E287)</f>
        <v>8.8888888888888893</v>
      </c>
      <c r="X287" s="101">
        <f>IFERROR(VLOOKUP(A287,Devamsızlıklar!A:M,13,0),1)</f>
        <v>0.88749999999999996</v>
      </c>
      <c r="Y287" s="101">
        <f>(OEE!$K$6*VLOOKUP($Y$2,'Kriter Ağırlık'!$A$1:$B$8,2,1))*X287*E287</f>
        <v>27.611111111111111</v>
      </c>
      <c r="Z287" s="101">
        <f>(TELEF!$I$10*VLOOKUP($Z$2,'Kriter Ağırlık'!$A$1:$B$8,2,1))*X287*E287</f>
        <v>11.833333333333332</v>
      </c>
      <c r="AA287" s="101">
        <f t="shared" si="24"/>
        <v>62.533333333333331</v>
      </c>
      <c r="AB287" s="99">
        <v>5</v>
      </c>
      <c r="AC287" s="99">
        <f>VLOOKUP(AB287,'Kriter Ağırlık'!$A$12:$C$17,3,0)</f>
        <v>18.5</v>
      </c>
      <c r="AD287" s="99">
        <v>5</v>
      </c>
      <c r="AE287" s="99">
        <f>VLOOKUP(AD287,'Kriter Ağırlık'!$E$12:$G$24,3,0)</f>
        <v>1</v>
      </c>
      <c r="AF287" s="102">
        <f t="shared" si="25"/>
        <v>1156.8666666666666</v>
      </c>
      <c r="AG287" t="str">
        <f>VLOOKUP(A287,'Çalışan Listesi'!A:G,6,0)</f>
        <v>OPERATÖR</v>
      </c>
    </row>
    <row r="288" spans="1:33" x14ac:dyDescent="0.2">
      <c r="A288" s="2">
        <v>5285</v>
      </c>
      <c r="B288" s="3" t="s">
        <v>334</v>
      </c>
      <c r="C288" s="4">
        <v>44578</v>
      </c>
      <c r="D288" s="5">
        <f t="shared" si="26"/>
        <v>73</v>
      </c>
      <c r="E288" s="6">
        <f t="shared" si="23"/>
        <v>0.81111111111111112</v>
      </c>
      <c r="F288" s="25" t="s">
        <v>422</v>
      </c>
      <c r="G288" s="3" t="s">
        <v>54</v>
      </c>
      <c r="H288" s="106" t="str">
        <f>VLOOKUP(A288,'Çalışan Listesi'!A:G,7,0)</f>
        <v>1.KADEME</v>
      </c>
      <c r="I288" s="65">
        <f>IFERROR(VLOOKUP(A288,'Kaizen Listesi'!A:H,8,0),0)</f>
        <v>0</v>
      </c>
      <c r="J288" s="65">
        <f>I288*VLOOKUP($I$2,'Kriter Ağırlık'!$A$1:$B$8,2,0)</f>
        <v>0</v>
      </c>
      <c r="K288" s="65">
        <f>IFERROR(VLOOKUP(A288,'Hata Kartı '!A:H,8,0),0)</f>
        <v>0</v>
      </c>
      <c r="L288" s="65">
        <f>K288*(VLOOKUP($K$2,'Kriter Ağırlık'!$A$1:$B$8,2,0))</f>
        <v>0</v>
      </c>
      <c r="M288" s="65">
        <f>IFERROR(VLOOKUP(F288,'5S'!$B$8:$E$19,4,0),0)</f>
        <v>1</v>
      </c>
      <c r="N288" s="65">
        <f>VLOOKUP(M288,'5S'!$G$8:$I$14,3,1)*VLOOKUP($M$2,'Kriter Ağırlık'!$A$1:$B$8,2,0)*E288*X288</f>
        <v>6.4888888888888889</v>
      </c>
      <c r="O288" s="1">
        <f>IFERROR(VLOOKUP(A288,Devamsızlıklar!A:K,10,0),0)</f>
        <v>0</v>
      </c>
      <c r="P288" s="40">
        <f>VLOOKUP(O288,Aralıklar!$A$2:$C$5,3,1)*VLOOKUP($O$2,'Kriter Ağırlık'!$A$1:$B$8,2,0)*E288*X288</f>
        <v>8.1111111111111107</v>
      </c>
      <c r="Q288" s="1">
        <f>IFERROR(VLOOKUP(A288,Devamsızlıklar!A:K,8,0),0)</f>
        <v>0</v>
      </c>
      <c r="R288" s="33">
        <f>VLOOKUP(Q288,Aralıklar!$E$2:$G$5,3,1)</f>
        <v>1</v>
      </c>
      <c r="S288" s="33">
        <f>IFERROR(VLOOKUP(A288,Devamsızlıklar!A:K,9,0),0)</f>
        <v>0</v>
      </c>
      <c r="T288" s="33">
        <f>VLOOKUP(S288,Aralıklar!$I$2:$K$6,3,1)</f>
        <v>50</v>
      </c>
      <c r="U288" s="33">
        <f>IFERROR(VLOOKUP(A288,Devamsızlıklar!A:K,11,0),0)</f>
        <v>0</v>
      </c>
      <c r="V288" s="33">
        <f>VLOOKUP(U288,Aralıklar!$M$2:$O$6,3,1)</f>
        <v>50</v>
      </c>
      <c r="W288" s="40">
        <f>IF(X288=0,0,(T288+V288)*R288*VLOOKUP($W$2,'Kriter Ağırlık'!$A$1:$B$8,2,1)*E288)</f>
        <v>8.1111111111111107</v>
      </c>
      <c r="X288" s="40">
        <f>IFERROR(VLOOKUP(A288,Devamsızlıklar!A:M,13,0),1)</f>
        <v>1</v>
      </c>
      <c r="Y288" s="40">
        <f>(OEE!$K$6*VLOOKUP($Y$2,'Kriter Ağırlık'!$A$1:$B$8,2,1))*X288*E288</f>
        <v>28.388888888888889</v>
      </c>
      <c r="Z288" s="40">
        <f>(TELEF!$I$10*VLOOKUP($Z$2,'Kriter Ağırlık'!$A$1:$B$8,2,1))*X288*E288</f>
        <v>12.166666666666666</v>
      </c>
      <c r="AA288" s="40">
        <f t="shared" si="24"/>
        <v>63.266666666666659</v>
      </c>
      <c r="AB288" s="1">
        <v>5</v>
      </c>
      <c r="AC288" s="33">
        <f>VLOOKUP(AB288,'Kriter Ağırlık'!$A$12:$C$17,3,0)</f>
        <v>18.5</v>
      </c>
      <c r="AD288" s="1">
        <v>5</v>
      </c>
      <c r="AE288" s="33">
        <f>VLOOKUP(AD288,'Kriter Ağırlık'!$E$12:$G$24,3,0)</f>
        <v>1</v>
      </c>
      <c r="AF288" s="92">
        <f t="shared" si="25"/>
        <v>1170.4333333333332</v>
      </c>
      <c r="AG288" t="str">
        <f>VLOOKUP(A288,'Çalışan Listesi'!A:G,6,0)</f>
        <v>OPERATÖR</v>
      </c>
    </row>
    <row r="289" spans="1:33" x14ac:dyDescent="0.2">
      <c r="A289" s="2">
        <v>5287</v>
      </c>
      <c r="B289" s="3" t="s">
        <v>335</v>
      </c>
      <c r="C289" s="4">
        <v>44578</v>
      </c>
      <c r="D289" s="5">
        <f t="shared" si="26"/>
        <v>73</v>
      </c>
      <c r="E289" s="6">
        <f t="shared" si="23"/>
        <v>0.81111111111111112</v>
      </c>
      <c r="F289" s="25" t="s">
        <v>421</v>
      </c>
      <c r="G289" s="3" t="s">
        <v>86</v>
      </c>
      <c r="H289" s="106" t="str">
        <f>VLOOKUP(A289,'Çalışan Listesi'!A:G,7,0)</f>
        <v>1.KADEME</v>
      </c>
      <c r="I289" s="65">
        <f>IFERROR(VLOOKUP(A289,'Kaizen Listesi'!A:H,8,0),0)</f>
        <v>0</v>
      </c>
      <c r="J289" s="65">
        <f>I289*VLOOKUP($I$2,'Kriter Ağırlık'!$A$1:$B$8,2,0)</f>
        <v>0</v>
      </c>
      <c r="K289" s="65">
        <f>IFERROR(VLOOKUP(A289,'Hata Kartı '!A:H,8,0),0)</f>
        <v>33.333333333333336</v>
      </c>
      <c r="L289" s="65">
        <f>K289*(VLOOKUP($K$2,'Kriter Ağırlık'!$A$1:$B$8,2,0))</f>
        <v>3.3333333333333339</v>
      </c>
      <c r="M289" s="65">
        <f>IFERROR(VLOOKUP(F289,'5S'!$B$8:$E$19,4,0),0)</f>
        <v>1</v>
      </c>
      <c r="N289" s="65">
        <f>VLOOKUP(M289,'5S'!$G$8:$I$14,3,1)*VLOOKUP($M$2,'Kriter Ağırlık'!$A$1:$B$8,2,0)*E289*X289</f>
        <v>6.4888888888888889</v>
      </c>
      <c r="O289" s="76">
        <f>IFERROR(VLOOKUP(A289,Devamsızlıklar!A:K,10,0),0)</f>
        <v>0</v>
      </c>
      <c r="P289" s="40">
        <f>VLOOKUP(O289,Aralıklar!$A$2:$C$5,3,1)*VLOOKUP($O$2,'Kriter Ağırlık'!$A$1:$B$8,2,0)*E289*X289</f>
        <v>8.1111111111111107</v>
      </c>
      <c r="Q289" s="76">
        <f>IFERROR(VLOOKUP(A289,Devamsızlıklar!A:K,8,0),0)</f>
        <v>0</v>
      </c>
      <c r="R289" s="76">
        <f>VLOOKUP(Q289,Aralıklar!$E$2:$G$5,3,1)</f>
        <v>1</v>
      </c>
      <c r="S289" s="76">
        <f>IFERROR(VLOOKUP(A289,Devamsızlıklar!A:K,9,0),0)</f>
        <v>0</v>
      </c>
      <c r="T289" s="76">
        <f>VLOOKUP(S289,Aralıklar!$I$2:$K$6,3,1)</f>
        <v>50</v>
      </c>
      <c r="U289" s="76">
        <f>IFERROR(VLOOKUP(A289,Devamsızlıklar!A:K,11,0),0)</f>
        <v>0</v>
      </c>
      <c r="V289" s="76">
        <f>VLOOKUP(U289,Aralıklar!$M$2:$O$6,3,1)</f>
        <v>50</v>
      </c>
      <c r="W289" s="40">
        <f>IF(X289=0,0,(T289+V289)*R289*VLOOKUP($W$2,'Kriter Ağırlık'!$A$1:$B$8,2,1)*E289)</f>
        <v>8.1111111111111107</v>
      </c>
      <c r="X289" s="40">
        <f>IFERROR(VLOOKUP(A289,Devamsızlıklar!A:M,13,0),1)</f>
        <v>1</v>
      </c>
      <c r="Y289" s="40">
        <f>(OEE!$K$6*VLOOKUP($Y$2,'Kriter Ağırlık'!$A$1:$B$8,2,1))*X289*E289</f>
        <v>28.388888888888889</v>
      </c>
      <c r="Z289" s="40">
        <f>(TELEF!$I$10*VLOOKUP($Z$2,'Kriter Ağırlık'!$A$1:$B$8,2,1))*X289*E289</f>
        <v>12.166666666666666</v>
      </c>
      <c r="AA289" s="40">
        <f t="shared" si="24"/>
        <v>66.600000000000009</v>
      </c>
      <c r="AB289" s="76">
        <v>5</v>
      </c>
      <c r="AC289" s="76">
        <f>VLOOKUP(AB289,'Kriter Ağırlık'!$A$12:$C$17,3,0)</f>
        <v>18.5</v>
      </c>
      <c r="AD289" s="76">
        <v>5</v>
      </c>
      <c r="AE289" s="76">
        <f>VLOOKUP(AD289,'Kriter Ağırlık'!$E$12:$G$24,3,0)</f>
        <v>1</v>
      </c>
      <c r="AF289" s="92">
        <f t="shared" si="25"/>
        <v>1232.1000000000001</v>
      </c>
      <c r="AG289" t="str">
        <f>VLOOKUP(A289,'Çalışan Listesi'!A:G,6,0)</f>
        <v>OPERATÖR</v>
      </c>
    </row>
    <row r="290" spans="1:33" x14ac:dyDescent="0.2">
      <c r="A290" s="2">
        <v>5293</v>
      </c>
      <c r="B290" s="3" t="s">
        <v>336</v>
      </c>
      <c r="C290" s="4">
        <v>44585</v>
      </c>
      <c r="D290" s="5">
        <f t="shared" si="26"/>
        <v>66</v>
      </c>
      <c r="E290" s="6">
        <f t="shared" si="23"/>
        <v>0.73333333333333328</v>
      </c>
      <c r="F290" s="25" t="s">
        <v>421</v>
      </c>
      <c r="G290" s="3" t="s">
        <v>86</v>
      </c>
      <c r="H290" s="106" t="str">
        <f>VLOOKUP(A290,'Çalışan Listesi'!A:G,7,0)</f>
        <v>1.KADEME</v>
      </c>
      <c r="I290" s="65">
        <f>IFERROR(VLOOKUP(A290,'Kaizen Listesi'!A:H,8,0),0)</f>
        <v>0</v>
      </c>
      <c r="J290" s="65">
        <f>I290*VLOOKUP($I$2,'Kriter Ağırlık'!$A$1:$B$8,2,0)</f>
        <v>0</v>
      </c>
      <c r="K290" s="65">
        <f>IFERROR(VLOOKUP(A290,'Hata Kartı '!A:H,8,0),0)</f>
        <v>33.333333333333336</v>
      </c>
      <c r="L290" s="65">
        <f>K290*(VLOOKUP($K$2,'Kriter Ağırlık'!$A$1:$B$8,2,0))</f>
        <v>3.3333333333333339</v>
      </c>
      <c r="M290" s="65">
        <f>IFERROR(VLOOKUP(F290,'5S'!$B$8:$E$19,4,0),0)</f>
        <v>1</v>
      </c>
      <c r="N290" s="65">
        <f>VLOOKUP(M290,'5S'!$G$8:$I$14,3,1)*VLOOKUP($M$2,'Kriter Ağırlık'!$A$1:$B$8,2,0)*E290*X290</f>
        <v>5.8666666666666663</v>
      </c>
      <c r="O290" s="1">
        <f>IFERROR(VLOOKUP(A290,Devamsızlıklar!A:K,10,0),0)</f>
        <v>0</v>
      </c>
      <c r="P290" s="40">
        <f>VLOOKUP(O290,Aralıklar!$A$2:$C$5,3,1)*VLOOKUP($O$2,'Kriter Ağırlık'!$A$1:$B$8,2,0)*E290*X290</f>
        <v>7.333333333333333</v>
      </c>
      <c r="Q290" s="1">
        <f>IFERROR(VLOOKUP(A290,Devamsızlıklar!A:K,8,0),0)</f>
        <v>0</v>
      </c>
      <c r="R290" s="33">
        <f>VLOOKUP(Q290,Aralıklar!$E$2:$G$5,3,1)</f>
        <v>1</v>
      </c>
      <c r="S290" s="33">
        <f>IFERROR(VLOOKUP(A290,Devamsızlıklar!A:K,9,0),0)</f>
        <v>0</v>
      </c>
      <c r="T290" s="33">
        <f>VLOOKUP(S290,Aralıklar!$I$2:$K$6,3,1)</f>
        <v>50</v>
      </c>
      <c r="U290" s="33">
        <f>IFERROR(VLOOKUP(A290,Devamsızlıklar!A:K,11,0),0)</f>
        <v>0</v>
      </c>
      <c r="V290" s="33">
        <f>VLOOKUP(U290,Aralıklar!$M$2:$O$6,3,1)</f>
        <v>50</v>
      </c>
      <c r="W290" s="40">
        <f>IF(X290=0,0,(T290+V290)*R290*VLOOKUP($W$2,'Kriter Ağırlık'!$A$1:$B$8,2,1)*E290)</f>
        <v>7.333333333333333</v>
      </c>
      <c r="X290" s="40">
        <f>IFERROR(VLOOKUP(A290,Devamsızlıklar!A:M,13,0),1)</f>
        <v>1</v>
      </c>
      <c r="Y290" s="40">
        <f>(OEE!$K$6*VLOOKUP($Y$2,'Kriter Ağırlık'!$A$1:$B$8,2,1))*X290*E290</f>
        <v>25.666666666666664</v>
      </c>
      <c r="Z290" s="40">
        <f>(TELEF!$I$10*VLOOKUP($Z$2,'Kriter Ağırlık'!$A$1:$B$8,2,1))*X290*E290</f>
        <v>11</v>
      </c>
      <c r="AA290" s="40">
        <f t="shared" si="24"/>
        <v>60.533333333333331</v>
      </c>
      <c r="AB290" s="1">
        <v>5</v>
      </c>
      <c r="AC290" s="33">
        <f>VLOOKUP(AB290,'Kriter Ağırlık'!$A$12:$C$17,3,0)</f>
        <v>18.5</v>
      </c>
      <c r="AD290" s="1">
        <v>5</v>
      </c>
      <c r="AE290" s="33">
        <f>VLOOKUP(AD290,'Kriter Ağırlık'!$E$12:$G$24,3,0)</f>
        <v>1</v>
      </c>
      <c r="AF290" s="92">
        <f t="shared" si="25"/>
        <v>1119.8666666666666</v>
      </c>
      <c r="AG290" t="str">
        <f>VLOOKUP(A290,'Çalışan Listesi'!A:G,6,0)</f>
        <v>OPERATÖR</v>
      </c>
    </row>
    <row r="291" spans="1:33" x14ac:dyDescent="0.2">
      <c r="A291" s="2">
        <v>5294</v>
      </c>
      <c r="B291" s="3" t="s">
        <v>337</v>
      </c>
      <c r="C291" s="4">
        <v>44592</v>
      </c>
      <c r="D291" s="5">
        <f t="shared" si="26"/>
        <v>59</v>
      </c>
      <c r="E291" s="6">
        <f t="shared" si="23"/>
        <v>0.65555555555555556</v>
      </c>
      <c r="F291" s="25" t="s">
        <v>422</v>
      </c>
      <c r="G291" s="3" t="s">
        <v>54</v>
      </c>
      <c r="H291" s="106" t="str">
        <f>VLOOKUP(A291,'Çalışan Listesi'!A:G,7,0)</f>
        <v>1.KADEME</v>
      </c>
      <c r="I291" s="65">
        <f>IFERROR(VLOOKUP(A291,'Kaizen Listesi'!A:H,8,0),0)</f>
        <v>0</v>
      </c>
      <c r="J291" s="65">
        <f>I291*VLOOKUP($I$2,'Kriter Ağırlık'!$A$1:$B$8,2,0)</f>
        <v>0</v>
      </c>
      <c r="K291" s="65">
        <f>IFERROR(VLOOKUP(A291,'Hata Kartı '!A:H,8,0),0)</f>
        <v>0</v>
      </c>
      <c r="L291" s="65">
        <f>K291*(VLOOKUP($K$2,'Kriter Ağırlık'!$A$1:$B$8,2,0))</f>
        <v>0</v>
      </c>
      <c r="M291" s="65">
        <f>IFERROR(VLOOKUP(F291,'5S'!$B$8:$E$19,4,0),0)</f>
        <v>1</v>
      </c>
      <c r="N291" s="65">
        <f>VLOOKUP(M291,'5S'!$G$8:$I$14,3,1)*VLOOKUP($M$2,'Kriter Ağırlık'!$A$1:$B$8,2,0)*E291*X291</f>
        <v>5.2444444444444445</v>
      </c>
      <c r="O291" s="76">
        <f>IFERROR(VLOOKUP(A291,Devamsızlıklar!A:K,10,0),0)</f>
        <v>0</v>
      </c>
      <c r="P291" s="40">
        <f>VLOOKUP(O291,Aralıklar!$A$2:$C$5,3,1)*VLOOKUP($O$2,'Kriter Ağırlık'!$A$1:$B$8,2,0)*E291*X291</f>
        <v>6.5555555555555554</v>
      </c>
      <c r="Q291" s="76">
        <f>IFERROR(VLOOKUP(A291,Devamsızlıklar!A:K,8,0),0)</f>
        <v>0</v>
      </c>
      <c r="R291" s="76">
        <f>VLOOKUP(Q291,Aralıklar!$E$2:$G$5,3,1)</f>
        <v>1</v>
      </c>
      <c r="S291" s="76">
        <f>IFERROR(VLOOKUP(A291,Devamsızlıklar!A:K,9,0),0)</f>
        <v>0</v>
      </c>
      <c r="T291" s="76">
        <f>VLOOKUP(S291,Aralıklar!$I$2:$K$6,3,1)</f>
        <v>50</v>
      </c>
      <c r="U291" s="76">
        <f>IFERROR(VLOOKUP(A291,Devamsızlıklar!A:K,11,0),0)</f>
        <v>0</v>
      </c>
      <c r="V291" s="76">
        <f>VLOOKUP(U291,Aralıklar!$M$2:$O$6,3,1)</f>
        <v>50</v>
      </c>
      <c r="W291" s="40">
        <f>IF(X291=0,0,(T291+V291)*R291*VLOOKUP($W$2,'Kriter Ağırlık'!$A$1:$B$8,2,1)*E291)</f>
        <v>6.5555555555555554</v>
      </c>
      <c r="X291" s="40">
        <f>IFERROR(VLOOKUP(A291,Devamsızlıklar!A:M,13,0),1)</f>
        <v>1</v>
      </c>
      <c r="Y291" s="40">
        <f>(OEE!$K$6*VLOOKUP($Y$2,'Kriter Ağırlık'!$A$1:$B$8,2,1))*X291*E291</f>
        <v>22.944444444444443</v>
      </c>
      <c r="Z291" s="40">
        <f>(TELEF!$I$10*VLOOKUP($Z$2,'Kriter Ağırlık'!$A$1:$B$8,2,1))*X291*E291</f>
        <v>9.8333333333333339</v>
      </c>
      <c r="AA291" s="40">
        <f t="shared" si="24"/>
        <v>51.133333333333333</v>
      </c>
      <c r="AB291" s="76">
        <v>5</v>
      </c>
      <c r="AC291" s="76">
        <f>VLOOKUP(AB291,'Kriter Ağırlık'!$A$12:$C$17,3,0)</f>
        <v>18.5</v>
      </c>
      <c r="AD291" s="76">
        <v>5</v>
      </c>
      <c r="AE291" s="76">
        <f>VLOOKUP(AD291,'Kriter Ağırlık'!$E$12:$G$24,3,0)</f>
        <v>1</v>
      </c>
      <c r="AF291" s="92">
        <f t="shared" si="25"/>
        <v>945.9666666666667</v>
      </c>
      <c r="AG291" t="str">
        <f>VLOOKUP(A291,'Çalışan Listesi'!A:G,6,0)</f>
        <v>OPERATÖR</v>
      </c>
    </row>
    <row r="292" spans="1:33" x14ac:dyDescent="0.2">
      <c r="A292" s="2">
        <v>5300</v>
      </c>
      <c r="B292" s="3" t="s">
        <v>338</v>
      </c>
      <c r="C292" s="4">
        <v>44599</v>
      </c>
      <c r="D292" s="5">
        <f t="shared" si="26"/>
        <v>52</v>
      </c>
      <c r="E292" s="6">
        <f t="shared" si="23"/>
        <v>0.57777777777777772</v>
      </c>
      <c r="F292" s="25" t="s">
        <v>422</v>
      </c>
      <c r="G292" s="3" t="s">
        <v>54</v>
      </c>
      <c r="H292" s="106" t="str">
        <f>VLOOKUP(A292,'Çalışan Listesi'!A:G,7,0)</f>
        <v>1.KADEME</v>
      </c>
      <c r="I292" s="65">
        <f>IFERROR(VLOOKUP(A292,'Kaizen Listesi'!A:H,8,0),0)</f>
        <v>0</v>
      </c>
      <c r="J292" s="65">
        <f>I292*VLOOKUP($I$2,'Kriter Ağırlık'!$A$1:$B$8,2,0)</f>
        <v>0</v>
      </c>
      <c r="K292" s="65">
        <f>IFERROR(VLOOKUP(A292,'Hata Kartı '!A:H,8,0),0)</f>
        <v>0</v>
      </c>
      <c r="L292" s="65">
        <f>K292*(VLOOKUP($K$2,'Kriter Ağırlık'!$A$1:$B$8,2,0))</f>
        <v>0</v>
      </c>
      <c r="M292" s="65">
        <f>IFERROR(VLOOKUP(F292,'5S'!$B$8:$E$19,4,0),0)</f>
        <v>1</v>
      </c>
      <c r="N292" s="65">
        <f>VLOOKUP(M292,'5S'!$G$8:$I$14,3,1)*VLOOKUP($M$2,'Kriter Ağırlık'!$A$1:$B$8,2,0)*E292*X292</f>
        <v>4.6222222222222218</v>
      </c>
      <c r="O292" s="76">
        <f>IFERROR(VLOOKUP(A292,Devamsızlıklar!A:K,10,0),0)</f>
        <v>0</v>
      </c>
      <c r="P292" s="40">
        <f>VLOOKUP(O292,Aralıklar!$A$2:$C$5,3,1)*VLOOKUP($O$2,'Kriter Ağırlık'!$A$1:$B$8,2,0)*E292*X292</f>
        <v>5.7777777777777768</v>
      </c>
      <c r="Q292" s="76">
        <f>IFERROR(VLOOKUP(A292,Devamsızlıklar!A:K,8,0),0)</f>
        <v>0</v>
      </c>
      <c r="R292" s="76">
        <f>VLOOKUP(Q292,Aralıklar!$E$2:$G$5,3,1)</f>
        <v>1</v>
      </c>
      <c r="S292" s="76">
        <f>IFERROR(VLOOKUP(A292,Devamsızlıklar!A:K,9,0),0)</f>
        <v>0</v>
      </c>
      <c r="T292" s="76">
        <f>VLOOKUP(S292,Aralıklar!$I$2:$K$6,3,1)</f>
        <v>50</v>
      </c>
      <c r="U292" s="76">
        <f>IFERROR(VLOOKUP(A292,Devamsızlıklar!A:K,11,0),0)</f>
        <v>0</v>
      </c>
      <c r="V292" s="76">
        <f>VLOOKUP(U292,Aralıklar!$M$2:$O$6,3,1)</f>
        <v>50</v>
      </c>
      <c r="W292" s="40">
        <f>IF(X292=0,0,(T292+V292)*R292*VLOOKUP($W$2,'Kriter Ağırlık'!$A$1:$B$8,2,1)*E292)</f>
        <v>5.7777777777777768</v>
      </c>
      <c r="X292" s="40">
        <f>IFERROR(VLOOKUP(A292,Devamsızlıklar!A:M,13,0),1)</f>
        <v>1</v>
      </c>
      <c r="Y292" s="40">
        <f>(OEE!$K$6*VLOOKUP($Y$2,'Kriter Ağırlık'!$A$1:$B$8,2,1))*X292*E292</f>
        <v>20.222222222222221</v>
      </c>
      <c r="Z292" s="40">
        <f>(TELEF!$I$10*VLOOKUP($Z$2,'Kriter Ağırlık'!$A$1:$B$8,2,1))*X292*E292</f>
        <v>8.6666666666666661</v>
      </c>
      <c r="AA292" s="40">
        <f t="shared" si="24"/>
        <v>45.066666666666663</v>
      </c>
      <c r="AB292" s="76">
        <v>5</v>
      </c>
      <c r="AC292" s="76">
        <f>VLOOKUP(AB292,'Kriter Ağırlık'!$A$12:$C$17,3,0)</f>
        <v>18.5</v>
      </c>
      <c r="AD292" s="76">
        <v>5</v>
      </c>
      <c r="AE292" s="76">
        <f>VLOOKUP(AD292,'Kriter Ağırlık'!$E$12:$G$24,3,0)</f>
        <v>1</v>
      </c>
      <c r="AF292" s="92">
        <f t="shared" si="25"/>
        <v>833.73333333333323</v>
      </c>
      <c r="AG292" t="str">
        <f>VLOOKUP(A292,'Çalışan Listesi'!A:G,6,0)</f>
        <v>OPERATÖR</v>
      </c>
    </row>
    <row r="293" spans="1:33" x14ac:dyDescent="0.2">
      <c r="A293" s="2">
        <v>5302</v>
      </c>
      <c r="B293" s="3" t="s">
        <v>339</v>
      </c>
      <c r="C293" s="4">
        <v>44599</v>
      </c>
      <c r="D293" s="5">
        <f t="shared" si="26"/>
        <v>52</v>
      </c>
      <c r="E293" s="6">
        <f t="shared" si="23"/>
        <v>0.57777777777777772</v>
      </c>
      <c r="F293" s="25" t="s">
        <v>421</v>
      </c>
      <c r="G293" s="3" t="s">
        <v>10</v>
      </c>
      <c r="H293" s="106" t="str">
        <f>VLOOKUP(A293,'Çalışan Listesi'!A:G,7,0)</f>
        <v>1.KADEME</v>
      </c>
      <c r="I293" s="65">
        <f>IFERROR(VLOOKUP(A293,'Kaizen Listesi'!A:H,8,0),0)</f>
        <v>0</v>
      </c>
      <c r="J293" s="65">
        <f>I293*VLOOKUP($I$2,'Kriter Ağırlık'!$A$1:$B$8,2,0)</f>
        <v>0</v>
      </c>
      <c r="K293" s="65">
        <f>IFERROR(VLOOKUP(A293,'Hata Kartı '!A:H,8,0),0)</f>
        <v>0</v>
      </c>
      <c r="L293" s="65">
        <f>K293*(VLOOKUP($K$2,'Kriter Ağırlık'!$A$1:$B$8,2,0))</f>
        <v>0</v>
      </c>
      <c r="M293" s="65">
        <f>IFERROR(VLOOKUP(F293,'5S'!$B$8:$E$19,4,0),0)</f>
        <v>1</v>
      </c>
      <c r="N293" s="65">
        <f>VLOOKUP(M293,'5S'!$G$8:$I$14,3,1)*VLOOKUP($M$2,'Kriter Ağırlık'!$A$1:$B$8,2,0)*E293*X293</f>
        <v>4.6222222222222218</v>
      </c>
      <c r="O293" s="1">
        <f>IFERROR(VLOOKUP(A293,Devamsızlıklar!A:K,10,0),0)</f>
        <v>0</v>
      </c>
      <c r="P293" s="40">
        <f>VLOOKUP(O293,Aralıklar!$A$2:$C$5,3,1)*VLOOKUP($O$2,'Kriter Ağırlık'!$A$1:$B$8,2,0)*E293*X293</f>
        <v>5.7777777777777768</v>
      </c>
      <c r="Q293" s="1">
        <f>IFERROR(VLOOKUP(A293,Devamsızlıklar!A:K,8,0),0)</f>
        <v>0</v>
      </c>
      <c r="R293" s="33">
        <f>VLOOKUP(Q293,Aralıklar!$E$2:$G$5,3,1)</f>
        <v>1</v>
      </c>
      <c r="S293" s="33">
        <f>IFERROR(VLOOKUP(A293,Devamsızlıklar!A:K,9,0),0)</f>
        <v>0</v>
      </c>
      <c r="T293" s="33">
        <f>VLOOKUP(S293,Aralıklar!$I$2:$K$6,3,1)</f>
        <v>50</v>
      </c>
      <c r="U293" s="33">
        <f>IFERROR(VLOOKUP(A293,Devamsızlıklar!A:K,11,0),0)</f>
        <v>0</v>
      </c>
      <c r="V293" s="33">
        <f>VLOOKUP(U293,Aralıklar!$M$2:$O$6,3,1)</f>
        <v>50</v>
      </c>
      <c r="W293" s="40">
        <f>IF(X293=0,0,(T293+V293)*R293*VLOOKUP($W$2,'Kriter Ağırlık'!$A$1:$B$8,2,1)*E293)</f>
        <v>5.7777777777777768</v>
      </c>
      <c r="X293" s="40">
        <f>IFERROR(VLOOKUP(A293,Devamsızlıklar!A:M,13,0),1)</f>
        <v>1</v>
      </c>
      <c r="Y293" s="40">
        <f>(OEE!$K$6*VLOOKUP($Y$2,'Kriter Ağırlık'!$A$1:$B$8,2,1))*X293*E293</f>
        <v>20.222222222222221</v>
      </c>
      <c r="Z293" s="40">
        <f>(TELEF!$I$10*VLOOKUP($Z$2,'Kriter Ağırlık'!$A$1:$B$8,2,1))*X293*E293</f>
        <v>8.6666666666666661</v>
      </c>
      <c r="AA293" s="40">
        <f t="shared" si="24"/>
        <v>45.066666666666663</v>
      </c>
      <c r="AB293" s="1">
        <v>5</v>
      </c>
      <c r="AC293" s="33">
        <f>VLOOKUP(AB293,'Kriter Ağırlık'!$A$12:$C$17,3,0)</f>
        <v>18.5</v>
      </c>
      <c r="AD293" s="1">
        <v>5</v>
      </c>
      <c r="AE293" s="33">
        <f>VLOOKUP(AD293,'Kriter Ağırlık'!$E$12:$G$24,3,0)</f>
        <v>1</v>
      </c>
      <c r="AF293" s="92">
        <f t="shared" si="25"/>
        <v>833.73333333333323</v>
      </c>
      <c r="AG293" t="str">
        <f>VLOOKUP(A293,'Çalışan Listesi'!A:G,6,0)</f>
        <v>OPERATÖR</v>
      </c>
    </row>
    <row r="294" spans="1:33" x14ac:dyDescent="0.2">
      <c r="A294" s="2">
        <v>5303</v>
      </c>
      <c r="B294" s="3" t="s">
        <v>340</v>
      </c>
      <c r="C294" s="4">
        <v>44599</v>
      </c>
      <c r="D294" s="5">
        <f t="shared" si="26"/>
        <v>52</v>
      </c>
      <c r="E294" s="6">
        <f t="shared" si="23"/>
        <v>0.57777777777777772</v>
      </c>
      <c r="F294" s="25" t="s">
        <v>426</v>
      </c>
      <c r="G294" s="3" t="s">
        <v>158</v>
      </c>
      <c r="H294" s="106" t="str">
        <f>VLOOKUP(A294,'Çalışan Listesi'!A:G,7,0)</f>
        <v>1.KADEME</v>
      </c>
      <c r="I294" s="65">
        <f>IFERROR(VLOOKUP(A294,'Kaizen Listesi'!A:H,8,0),0)</f>
        <v>0</v>
      </c>
      <c r="J294" s="65">
        <f>I294*VLOOKUP($I$2,'Kriter Ağırlık'!$A$1:$B$8,2,0)</f>
        <v>0</v>
      </c>
      <c r="K294" s="65">
        <f>IFERROR(VLOOKUP(A294,'Hata Kartı '!A:H,8,0),0)</f>
        <v>0</v>
      </c>
      <c r="L294" s="65">
        <f>K294*(VLOOKUP($K$2,'Kriter Ağırlık'!$A$1:$B$8,2,0))</f>
        <v>0</v>
      </c>
      <c r="M294" s="65">
        <f>IFERROR(VLOOKUP(F294,'5S'!$B$8:$E$19,4,0),0)</f>
        <v>1</v>
      </c>
      <c r="N294" s="65">
        <f>VLOOKUP(M294,'5S'!$G$8:$I$14,3,1)*VLOOKUP($M$2,'Kriter Ağırlık'!$A$1:$B$8,2,0)*E294*X294</f>
        <v>4.3555555555555552</v>
      </c>
      <c r="O294" s="1">
        <f>IFERROR(VLOOKUP(A294,Devamsızlıklar!A:K,10,0),0)</f>
        <v>0</v>
      </c>
      <c r="P294" s="40">
        <f>VLOOKUP(O294,Aralıklar!$A$2:$C$5,3,1)*VLOOKUP($O$2,'Kriter Ağırlık'!$A$1:$B$8,2,0)*E294*X294</f>
        <v>5.4444444444444438</v>
      </c>
      <c r="Q294" s="1">
        <f>IFERROR(VLOOKUP(A294,Devamsızlıklar!A:K,8,0),0)</f>
        <v>0</v>
      </c>
      <c r="R294" s="33">
        <f>VLOOKUP(Q294,Aralıklar!$E$2:$G$5,3,1)</f>
        <v>1</v>
      </c>
      <c r="S294" s="33">
        <f>IFERROR(VLOOKUP(A294,Devamsızlıklar!A:K,9,0),0)</f>
        <v>2</v>
      </c>
      <c r="T294" s="33">
        <f>VLOOKUP(S294,Aralıklar!$I$2:$K$6,3,1)</f>
        <v>50</v>
      </c>
      <c r="U294" s="33">
        <f>IFERROR(VLOOKUP(A294,Devamsızlıklar!A:K,11,0),0)</f>
        <v>1</v>
      </c>
      <c r="V294" s="33">
        <f>VLOOKUP(U294,Aralıklar!$M$2:$O$6,3,1)</f>
        <v>50</v>
      </c>
      <c r="W294" s="40">
        <f>IF(X294=0,0,(T294+V294)*R294*VLOOKUP($W$2,'Kriter Ağırlık'!$A$1:$B$8,2,1)*E294)</f>
        <v>5.7777777777777768</v>
      </c>
      <c r="X294" s="40">
        <f>IFERROR(VLOOKUP(A294,Devamsızlıklar!A:M,13,0),1)</f>
        <v>0.94230769230769229</v>
      </c>
      <c r="Y294" s="40">
        <f>(OEE!$K$6*VLOOKUP($Y$2,'Kriter Ağırlık'!$A$1:$B$8,2,1))*X294*E294</f>
        <v>19.055555555555554</v>
      </c>
      <c r="Z294" s="40">
        <f>(TELEF!$I$10*VLOOKUP($Z$2,'Kriter Ağırlık'!$A$1:$B$8,2,1))*X294*E294</f>
        <v>8.1666666666666661</v>
      </c>
      <c r="AA294" s="40">
        <f t="shared" si="24"/>
        <v>42.79999999999999</v>
      </c>
      <c r="AB294" s="1">
        <v>5</v>
      </c>
      <c r="AC294" s="33">
        <f>VLOOKUP(AB294,'Kriter Ağırlık'!$A$12:$C$17,3,0)</f>
        <v>18.5</v>
      </c>
      <c r="AD294" s="1">
        <v>5</v>
      </c>
      <c r="AE294" s="33">
        <f>VLOOKUP(AD294,'Kriter Ağırlık'!$E$12:$G$24,3,0)</f>
        <v>1</v>
      </c>
      <c r="AF294" s="92">
        <f t="shared" si="25"/>
        <v>791.79999999999984</v>
      </c>
      <c r="AG294" t="str">
        <f>VLOOKUP(A294,'Çalışan Listesi'!A:G,6,0)</f>
        <v>OPERATÖR</v>
      </c>
    </row>
    <row r="295" spans="1:33" x14ac:dyDescent="0.2">
      <c r="A295" s="2">
        <v>5304</v>
      </c>
      <c r="B295" s="3" t="s">
        <v>341</v>
      </c>
      <c r="C295" s="4">
        <v>44599</v>
      </c>
      <c r="D295" s="5">
        <f t="shared" si="26"/>
        <v>52</v>
      </c>
      <c r="E295" s="6">
        <f t="shared" si="23"/>
        <v>0.57777777777777772</v>
      </c>
      <c r="F295" s="25" t="s">
        <v>421</v>
      </c>
      <c r="G295" s="3" t="s">
        <v>10</v>
      </c>
      <c r="H295" s="106" t="str">
        <f>VLOOKUP(A295,'Çalışan Listesi'!A:G,7,0)</f>
        <v>1.KADEME</v>
      </c>
      <c r="I295" s="65">
        <f>IFERROR(VLOOKUP(A295,'Kaizen Listesi'!A:H,8,0),0)</f>
        <v>0</v>
      </c>
      <c r="J295" s="65">
        <f>I295*VLOOKUP($I$2,'Kriter Ağırlık'!$A$1:$B$8,2,0)</f>
        <v>0</v>
      </c>
      <c r="K295" s="65">
        <f>IFERROR(VLOOKUP(A295,'Hata Kartı '!A:H,8,0),0)</f>
        <v>0</v>
      </c>
      <c r="L295" s="65">
        <f>K295*(VLOOKUP($K$2,'Kriter Ağırlık'!$A$1:$B$8,2,0))</f>
        <v>0</v>
      </c>
      <c r="M295" s="65">
        <f>IFERROR(VLOOKUP(F295,'5S'!$B$8:$E$19,4,0),0)</f>
        <v>1</v>
      </c>
      <c r="N295" s="65">
        <f>VLOOKUP(M295,'5S'!$G$8:$I$14,3,1)*VLOOKUP($M$2,'Kriter Ağırlık'!$A$1:$B$8,2,0)*E295*X295</f>
        <v>4.3555555555555552</v>
      </c>
      <c r="O295" s="1">
        <f>IFERROR(VLOOKUP(A295,Devamsızlıklar!A:K,10,0),0)</f>
        <v>0</v>
      </c>
      <c r="P295" s="40">
        <f>VLOOKUP(O295,Aralıklar!$A$2:$C$5,3,1)*VLOOKUP($O$2,'Kriter Ağırlık'!$A$1:$B$8,2,0)*E295*X295</f>
        <v>5.4444444444444438</v>
      </c>
      <c r="Q295" s="1">
        <f>IFERROR(VLOOKUP(A295,Devamsızlıklar!A:K,8,0),0)</f>
        <v>0</v>
      </c>
      <c r="R295" s="33">
        <f>VLOOKUP(Q295,Aralıklar!$E$2:$G$5,3,1)</f>
        <v>1</v>
      </c>
      <c r="S295" s="33">
        <f>IFERROR(VLOOKUP(A295,Devamsızlıklar!A:K,9,0),0)</f>
        <v>1</v>
      </c>
      <c r="T295" s="33">
        <f>VLOOKUP(S295,Aralıklar!$I$2:$K$6,3,1)</f>
        <v>50</v>
      </c>
      <c r="U295" s="33">
        <f>IFERROR(VLOOKUP(A295,Devamsızlıklar!A:K,11,0),0)</f>
        <v>2</v>
      </c>
      <c r="V295" s="33">
        <f>VLOOKUP(U295,Aralıklar!$M$2:$O$6,3,1)</f>
        <v>25</v>
      </c>
      <c r="W295" s="40">
        <f>IF(X295=0,0,(T295+V295)*R295*VLOOKUP($W$2,'Kriter Ağırlık'!$A$1:$B$8,2,1)*E295)</f>
        <v>4.333333333333333</v>
      </c>
      <c r="X295" s="40">
        <f>IFERROR(VLOOKUP(A295,Devamsızlıklar!A:M,13,0),1)</f>
        <v>0.94230769230769229</v>
      </c>
      <c r="Y295" s="40">
        <f>(OEE!$K$6*VLOOKUP($Y$2,'Kriter Ağırlık'!$A$1:$B$8,2,1))*X295*E295</f>
        <v>19.055555555555554</v>
      </c>
      <c r="Z295" s="40">
        <f>(TELEF!$I$10*VLOOKUP($Z$2,'Kriter Ağırlık'!$A$1:$B$8,2,1))*X295*E295</f>
        <v>8.1666666666666661</v>
      </c>
      <c r="AA295" s="40">
        <f t="shared" si="24"/>
        <v>41.355555555555547</v>
      </c>
      <c r="AB295" s="1">
        <v>5</v>
      </c>
      <c r="AC295" s="33">
        <f>VLOOKUP(AB295,'Kriter Ağırlık'!$A$12:$C$17,3,0)</f>
        <v>18.5</v>
      </c>
      <c r="AD295" s="76">
        <v>5</v>
      </c>
      <c r="AE295" s="33">
        <f>VLOOKUP(AD295,'Kriter Ağırlık'!$E$12:$G$24,3,0)</f>
        <v>1</v>
      </c>
      <c r="AF295" s="92">
        <f t="shared" si="25"/>
        <v>765.07777777777767</v>
      </c>
      <c r="AG295" t="str">
        <f>VLOOKUP(A295,'Çalışan Listesi'!A:G,6,0)</f>
        <v>OPERATÖR</v>
      </c>
    </row>
    <row r="296" spans="1:33" x14ac:dyDescent="0.2">
      <c r="A296" s="2">
        <v>5307</v>
      </c>
      <c r="B296" s="3" t="s">
        <v>343</v>
      </c>
      <c r="C296" s="4">
        <v>44613</v>
      </c>
      <c r="D296" s="5">
        <f t="shared" si="26"/>
        <v>38</v>
      </c>
      <c r="E296" s="6">
        <f t="shared" si="23"/>
        <v>0.42222222222222222</v>
      </c>
      <c r="F296" s="25" t="s">
        <v>422</v>
      </c>
      <c r="G296" s="3" t="s">
        <v>54</v>
      </c>
      <c r="H296" s="106" t="str">
        <f>VLOOKUP(A296,'Çalışan Listesi'!A:G,7,0)</f>
        <v>1.KADEME</v>
      </c>
      <c r="I296" s="65">
        <f>IFERROR(VLOOKUP(A296,'Kaizen Listesi'!A:H,8,0),0)</f>
        <v>0</v>
      </c>
      <c r="J296" s="65">
        <f>I296*VLOOKUP($I$2,'Kriter Ağırlık'!$A$1:$B$8,2,0)</f>
        <v>0</v>
      </c>
      <c r="K296" s="65">
        <f>IFERROR(VLOOKUP(A296,'Hata Kartı '!A:H,8,0),0)</f>
        <v>0</v>
      </c>
      <c r="L296" s="65">
        <f>K296*(VLOOKUP($K$2,'Kriter Ağırlık'!$A$1:$B$8,2,0))</f>
        <v>0</v>
      </c>
      <c r="M296" s="65">
        <f>IFERROR(VLOOKUP(F296,'5S'!$B$8:$E$19,4,0),0)</f>
        <v>1</v>
      </c>
      <c r="N296" s="65">
        <f>VLOOKUP(M296,'5S'!$G$8:$I$14,3,1)*VLOOKUP($M$2,'Kriter Ağırlık'!$A$1:$B$8,2,0)*E296*X296</f>
        <v>3.3777777777777778</v>
      </c>
      <c r="O296" s="1">
        <f>IFERROR(VLOOKUP(A296,Devamsızlıklar!A:K,10,0),0)</f>
        <v>0</v>
      </c>
      <c r="P296" s="40">
        <f>VLOOKUP(O296,Aralıklar!$A$2:$C$5,3,1)*VLOOKUP($O$2,'Kriter Ağırlık'!$A$1:$B$8,2,0)*E296*X296</f>
        <v>4.2222222222222223</v>
      </c>
      <c r="Q296" s="1">
        <f>IFERROR(VLOOKUP(A296,Devamsızlıklar!A:K,8,0),0)</f>
        <v>0</v>
      </c>
      <c r="R296" s="33">
        <f>VLOOKUP(Q296,Aralıklar!$E$2:$G$5,3,1)</f>
        <v>1</v>
      </c>
      <c r="S296" s="33">
        <f>IFERROR(VLOOKUP(A296,Devamsızlıklar!A:K,9,0),0)</f>
        <v>0</v>
      </c>
      <c r="T296" s="33">
        <f>VLOOKUP(S296,Aralıklar!$I$2:$K$6,3,1)</f>
        <v>50</v>
      </c>
      <c r="U296" s="33">
        <f>IFERROR(VLOOKUP(A296,Devamsızlıklar!A:K,11,0),0)</f>
        <v>0</v>
      </c>
      <c r="V296" s="33">
        <f>VLOOKUP(U296,Aralıklar!$M$2:$O$6,3,1)</f>
        <v>50</v>
      </c>
      <c r="W296" s="40">
        <f>IF(X296=0,0,(T296+V296)*R296*VLOOKUP($W$2,'Kriter Ağırlık'!$A$1:$B$8,2,1)*E296)</f>
        <v>4.2222222222222223</v>
      </c>
      <c r="X296" s="40">
        <f>IFERROR(VLOOKUP(A296,Devamsızlıklar!A:M,13,0),1)</f>
        <v>1</v>
      </c>
      <c r="Y296" s="40">
        <f>(OEE!$K$6*VLOOKUP($Y$2,'Kriter Ağırlık'!$A$1:$B$8,2,1))*X296*E296</f>
        <v>14.777777777777779</v>
      </c>
      <c r="Z296" s="40">
        <f>(TELEF!$I$10*VLOOKUP($Z$2,'Kriter Ağırlık'!$A$1:$B$8,2,1))*X296*E296</f>
        <v>6.333333333333333</v>
      </c>
      <c r="AA296" s="40">
        <f t="shared" si="24"/>
        <v>32.933333333333337</v>
      </c>
      <c r="AB296" s="1">
        <v>5</v>
      </c>
      <c r="AC296" s="33">
        <f>VLOOKUP(AB296,'Kriter Ağırlık'!$A$12:$C$17,3,0)</f>
        <v>18.5</v>
      </c>
      <c r="AD296" s="1">
        <v>5</v>
      </c>
      <c r="AE296" s="33">
        <f>VLOOKUP(AD296,'Kriter Ağırlık'!$E$12:$G$24,3,0)</f>
        <v>1</v>
      </c>
      <c r="AF296" s="92">
        <f t="shared" si="25"/>
        <v>609.26666666666677</v>
      </c>
      <c r="AG296" t="str">
        <f>VLOOKUP(A296,'Çalışan Listesi'!A:G,6,0)</f>
        <v>OPERATÖR</v>
      </c>
    </row>
    <row r="297" spans="1:33" x14ac:dyDescent="0.2">
      <c r="A297" s="2">
        <v>5309</v>
      </c>
      <c r="B297" s="3" t="s">
        <v>344</v>
      </c>
      <c r="C297" s="4">
        <v>44613</v>
      </c>
      <c r="D297" s="5">
        <f t="shared" si="26"/>
        <v>38</v>
      </c>
      <c r="E297" s="6">
        <f t="shared" si="23"/>
        <v>0.42222222222222222</v>
      </c>
      <c r="F297" s="25" t="s">
        <v>421</v>
      </c>
      <c r="G297" s="3" t="s">
        <v>10</v>
      </c>
      <c r="H297" s="106" t="str">
        <f>VLOOKUP(A297,'Çalışan Listesi'!A:G,7,0)</f>
        <v>1.KADEME</v>
      </c>
      <c r="I297" s="65">
        <f>IFERROR(VLOOKUP(A297,'Kaizen Listesi'!A:H,8,0),0)</f>
        <v>0</v>
      </c>
      <c r="J297" s="65">
        <f>I297*VLOOKUP($I$2,'Kriter Ağırlık'!$A$1:$B$8,2,0)</f>
        <v>0</v>
      </c>
      <c r="K297" s="65">
        <f>IFERROR(VLOOKUP(A297,'Hata Kartı '!A:H,8,0),0)</f>
        <v>0</v>
      </c>
      <c r="L297" s="65">
        <f>K297*(VLOOKUP($K$2,'Kriter Ağırlık'!$A$1:$B$8,2,0))</f>
        <v>0</v>
      </c>
      <c r="M297" s="65">
        <f>IFERROR(VLOOKUP(F297,'5S'!$B$8:$E$19,4,0),0)</f>
        <v>1</v>
      </c>
      <c r="N297" s="65">
        <f>VLOOKUP(M297,'5S'!$G$8:$I$14,3,1)*VLOOKUP($M$2,'Kriter Ağırlık'!$A$1:$B$8,2,0)*E297*X297</f>
        <v>3.3777777777777778</v>
      </c>
      <c r="O297" s="1">
        <f>IFERROR(VLOOKUP(A297,Devamsızlıklar!A:K,10,0),0)</f>
        <v>0</v>
      </c>
      <c r="P297" s="40">
        <f>VLOOKUP(O297,Aralıklar!$A$2:$C$5,3,1)*VLOOKUP($O$2,'Kriter Ağırlık'!$A$1:$B$8,2,0)*E297*X297</f>
        <v>4.2222222222222223</v>
      </c>
      <c r="Q297" s="1">
        <f>IFERROR(VLOOKUP(A297,Devamsızlıklar!A:K,8,0),0)</f>
        <v>0</v>
      </c>
      <c r="R297" s="33">
        <f>VLOOKUP(Q297,Aralıklar!$E$2:$G$5,3,1)</f>
        <v>1</v>
      </c>
      <c r="S297" s="33">
        <f>IFERROR(VLOOKUP(A297,Devamsızlıklar!A:K,9,0),0)</f>
        <v>0</v>
      </c>
      <c r="T297" s="33">
        <f>VLOOKUP(S297,Aralıklar!$I$2:$K$6,3,1)</f>
        <v>50</v>
      </c>
      <c r="U297" s="33">
        <f>IFERROR(VLOOKUP(A297,Devamsızlıklar!A:K,11,0),0)</f>
        <v>0</v>
      </c>
      <c r="V297" s="33">
        <f>VLOOKUP(U297,Aralıklar!$M$2:$O$6,3,1)</f>
        <v>50</v>
      </c>
      <c r="W297" s="40">
        <f>IF(X297=0,0,(T297+V297)*R297*VLOOKUP($W$2,'Kriter Ağırlık'!$A$1:$B$8,2,1)*E297)</f>
        <v>4.2222222222222223</v>
      </c>
      <c r="X297" s="40">
        <f>IFERROR(VLOOKUP(A297,Devamsızlıklar!A:M,13,0),1)</f>
        <v>1</v>
      </c>
      <c r="Y297" s="40">
        <f>(OEE!$K$6*VLOOKUP($Y$2,'Kriter Ağırlık'!$A$1:$B$8,2,1))*X297*E297</f>
        <v>14.777777777777779</v>
      </c>
      <c r="Z297" s="40">
        <f>(TELEF!$I$10*VLOOKUP($Z$2,'Kriter Ağırlık'!$A$1:$B$8,2,1))*X297*E297</f>
        <v>6.333333333333333</v>
      </c>
      <c r="AA297" s="40">
        <f t="shared" si="24"/>
        <v>32.933333333333337</v>
      </c>
      <c r="AB297" s="1">
        <v>5</v>
      </c>
      <c r="AC297" s="33">
        <f>VLOOKUP(AB297,'Kriter Ağırlık'!$A$12:$C$17,3,0)</f>
        <v>18.5</v>
      </c>
      <c r="AD297" s="1">
        <v>5</v>
      </c>
      <c r="AE297" s="33">
        <f>VLOOKUP(AD297,'Kriter Ağırlık'!$E$12:$G$24,3,0)</f>
        <v>1</v>
      </c>
      <c r="AF297" s="92">
        <f t="shared" si="25"/>
        <v>609.26666666666677</v>
      </c>
      <c r="AG297" t="str">
        <f>VLOOKUP(A297,'Çalışan Listesi'!A:G,6,0)</f>
        <v>OPERATÖR</v>
      </c>
    </row>
    <row r="298" spans="1:33" x14ac:dyDescent="0.2">
      <c r="A298" s="2">
        <v>5310</v>
      </c>
      <c r="B298" s="3" t="s">
        <v>345</v>
      </c>
      <c r="C298" s="4">
        <v>44613</v>
      </c>
      <c r="D298" s="5">
        <f t="shared" si="26"/>
        <v>38</v>
      </c>
      <c r="E298" s="6">
        <f t="shared" si="23"/>
        <v>0.42222222222222222</v>
      </c>
      <c r="F298" s="25" t="s">
        <v>429</v>
      </c>
      <c r="G298" s="3" t="s">
        <v>46</v>
      </c>
      <c r="H298" s="106" t="str">
        <f>VLOOKUP(A298,'Çalışan Listesi'!A:G,7,0)</f>
        <v>1.KADEME</v>
      </c>
      <c r="I298" s="65">
        <f>IFERROR(VLOOKUP(A298,'Kaizen Listesi'!A:H,8,0),0)</f>
        <v>0</v>
      </c>
      <c r="J298" s="65">
        <f>I298*VLOOKUP($I$2,'Kriter Ağırlık'!$A$1:$B$8,2,0)</f>
        <v>0</v>
      </c>
      <c r="K298" s="65">
        <f>IFERROR(VLOOKUP(A298,'Hata Kartı '!A:H,8,0),0)</f>
        <v>0</v>
      </c>
      <c r="L298" s="65">
        <f>K298*(VLOOKUP($K$2,'Kriter Ağırlık'!$A$1:$B$8,2,0))</f>
        <v>0</v>
      </c>
      <c r="M298" s="65">
        <f>IFERROR(VLOOKUP(F298,'5S'!$B$8:$E$19,4,0),0)</f>
        <v>1</v>
      </c>
      <c r="N298" s="65">
        <f>VLOOKUP(M298,'5S'!$G$8:$I$14,3,1)*VLOOKUP($M$2,'Kriter Ağırlık'!$A$1:$B$8,2,0)*E298*X298</f>
        <v>3.2888888888888892</v>
      </c>
      <c r="O298" s="1">
        <f>IFERROR(VLOOKUP(A298,Devamsızlıklar!A:K,10,0),0)</f>
        <v>0</v>
      </c>
      <c r="P298" s="40">
        <f>VLOOKUP(O298,Aralıklar!$A$2:$C$5,3,1)*VLOOKUP($O$2,'Kriter Ağırlık'!$A$1:$B$8,2,0)*E298*X298</f>
        <v>4.1111111111111116</v>
      </c>
      <c r="Q298" s="1">
        <f>IFERROR(VLOOKUP(A298,Devamsızlıklar!A:K,8,0),0)</f>
        <v>0</v>
      </c>
      <c r="R298" s="33">
        <f>VLOOKUP(Q298,Aralıklar!$E$2:$G$5,3,1)</f>
        <v>1</v>
      </c>
      <c r="S298" s="33">
        <f>IFERROR(VLOOKUP(A298,Devamsızlıklar!A:K,9,0),0)</f>
        <v>0</v>
      </c>
      <c r="T298" s="33">
        <f>VLOOKUP(S298,Aralıklar!$I$2:$K$6,3,1)</f>
        <v>50</v>
      </c>
      <c r="U298" s="33">
        <f>IFERROR(VLOOKUP(A298,Devamsızlıklar!A:K,11,0),0)</f>
        <v>1</v>
      </c>
      <c r="V298" s="33">
        <f>VLOOKUP(U298,Aralıklar!$M$2:$O$6,3,1)</f>
        <v>50</v>
      </c>
      <c r="W298" s="40">
        <f>IF(X298=0,0,(T298+V298)*R298*VLOOKUP($W$2,'Kriter Ağırlık'!$A$1:$B$8,2,1)*E298)</f>
        <v>4.2222222222222223</v>
      </c>
      <c r="X298" s="40">
        <f>IFERROR(VLOOKUP(A298,Devamsızlıklar!A:M,13,0),1)</f>
        <v>0.97368421052631582</v>
      </c>
      <c r="Y298" s="40">
        <f>(OEE!$K$6*VLOOKUP($Y$2,'Kriter Ağırlık'!$A$1:$B$8,2,1))*X298*E298</f>
        <v>14.388888888888889</v>
      </c>
      <c r="Z298" s="40">
        <f>(TELEF!$I$10*VLOOKUP($Z$2,'Kriter Ağırlık'!$A$1:$B$8,2,1))*X298*E298</f>
        <v>6.166666666666667</v>
      </c>
      <c r="AA298" s="40">
        <f t="shared" si="24"/>
        <v>32.177777777777777</v>
      </c>
      <c r="AB298" s="1">
        <v>5</v>
      </c>
      <c r="AC298" s="33">
        <f>VLOOKUP(AB298,'Kriter Ağırlık'!$A$12:$C$17,3,0)</f>
        <v>18.5</v>
      </c>
      <c r="AD298" s="1">
        <v>5</v>
      </c>
      <c r="AE298" s="33">
        <f>VLOOKUP(AD298,'Kriter Ağırlık'!$E$12:$G$24,3,0)</f>
        <v>1</v>
      </c>
      <c r="AF298" s="92">
        <f t="shared" si="25"/>
        <v>595.28888888888889</v>
      </c>
      <c r="AG298" t="str">
        <f>VLOOKUP(A298,'Çalışan Listesi'!A:G,6,0)</f>
        <v>OPERATÖR</v>
      </c>
    </row>
    <row r="299" spans="1:33" x14ac:dyDescent="0.2">
      <c r="A299" s="2">
        <v>5313</v>
      </c>
      <c r="B299" s="3" t="s">
        <v>346</v>
      </c>
      <c r="C299" s="4">
        <v>44620</v>
      </c>
      <c r="D299" s="5">
        <f t="shared" si="26"/>
        <v>31</v>
      </c>
      <c r="E299" s="6">
        <f t="shared" si="23"/>
        <v>0.34444444444444444</v>
      </c>
      <c r="F299" s="25" t="s">
        <v>421</v>
      </c>
      <c r="G299" s="3" t="s">
        <v>86</v>
      </c>
      <c r="H299" s="106" t="str">
        <f>VLOOKUP(A299,'Çalışan Listesi'!A:G,7,0)</f>
        <v>1.KADEME</v>
      </c>
      <c r="I299" s="65">
        <f>IFERROR(VLOOKUP(A299,'Kaizen Listesi'!A:H,8,0),0)</f>
        <v>0</v>
      </c>
      <c r="J299" s="65">
        <f>I299*VLOOKUP($I$2,'Kriter Ağırlık'!$A$1:$B$8,2,0)</f>
        <v>0</v>
      </c>
      <c r="K299" s="65">
        <f>IFERROR(VLOOKUP(A299,'Hata Kartı '!A:H,8,0),0)</f>
        <v>0</v>
      </c>
      <c r="L299" s="65">
        <f>K299*(VLOOKUP($K$2,'Kriter Ağırlık'!$A$1:$B$8,2,0))</f>
        <v>0</v>
      </c>
      <c r="M299" s="65">
        <f>IFERROR(VLOOKUP(F299,'5S'!$B$8:$E$19,4,0),0)</f>
        <v>1</v>
      </c>
      <c r="N299" s="65">
        <f>VLOOKUP(M299,'5S'!$G$8:$I$14,3,1)*VLOOKUP($M$2,'Kriter Ağırlık'!$A$1:$B$8,2,0)*E299*X299</f>
        <v>2.7555555555555555</v>
      </c>
      <c r="O299" s="76">
        <f>IFERROR(VLOOKUP(A299,Devamsızlıklar!A:K,10,0),0)</f>
        <v>0</v>
      </c>
      <c r="P299" s="40">
        <f>VLOOKUP(O299,Aralıklar!$A$2:$C$5,3,1)*VLOOKUP($O$2,'Kriter Ağırlık'!$A$1:$B$8,2,0)*E299*X299</f>
        <v>3.4444444444444446</v>
      </c>
      <c r="Q299" s="76">
        <f>IFERROR(VLOOKUP(A299,Devamsızlıklar!A:K,8,0),0)</f>
        <v>0</v>
      </c>
      <c r="R299" s="76">
        <f>VLOOKUP(Q299,Aralıklar!$E$2:$G$5,3,1)</f>
        <v>1</v>
      </c>
      <c r="S299" s="76">
        <f>IFERROR(VLOOKUP(A299,Devamsızlıklar!A:K,9,0),0)</f>
        <v>0</v>
      </c>
      <c r="T299" s="76">
        <f>VLOOKUP(S299,Aralıklar!$I$2:$K$6,3,1)</f>
        <v>50</v>
      </c>
      <c r="U299" s="76">
        <f>IFERROR(VLOOKUP(A299,Devamsızlıklar!A:K,11,0),0)</f>
        <v>0</v>
      </c>
      <c r="V299" s="76">
        <f>VLOOKUP(U299,Aralıklar!$M$2:$O$6,3,1)</f>
        <v>50</v>
      </c>
      <c r="W299" s="40">
        <f>IF(X299=0,0,(T299+V299)*R299*VLOOKUP($W$2,'Kriter Ağırlık'!$A$1:$B$8,2,1)*E299)</f>
        <v>3.4444444444444446</v>
      </c>
      <c r="X299" s="40">
        <f>IFERROR(VLOOKUP(A299,Devamsızlıklar!A:M,13,0),1)</f>
        <v>1</v>
      </c>
      <c r="Y299" s="40">
        <f>(OEE!$K$6*VLOOKUP($Y$2,'Kriter Ağırlık'!$A$1:$B$8,2,1))*X299*E299</f>
        <v>12.055555555555555</v>
      </c>
      <c r="Z299" s="40">
        <f>(TELEF!$I$10*VLOOKUP($Z$2,'Kriter Ağırlık'!$A$1:$B$8,2,1))*X299*E299</f>
        <v>5.166666666666667</v>
      </c>
      <c r="AA299" s="40">
        <f t="shared" si="24"/>
        <v>26.866666666666671</v>
      </c>
      <c r="AB299" s="76">
        <v>5</v>
      </c>
      <c r="AC299" s="76">
        <f>VLOOKUP(AB299,'Kriter Ağırlık'!$A$12:$C$17,3,0)</f>
        <v>18.5</v>
      </c>
      <c r="AD299" s="76">
        <v>5</v>
      </c>
      <c r="AE299" s="76">
        <f>VLOOKUP(AD299,'Kriter Ağırlık'!$E$12:$G$24,3,0)</f>
        <v>1</v>
      </c>
      <c r="AF299" s="92">
        <f t="shared" si="25"/>
        <v>497.03333333333342</v>
      </c>
      <c r="AG299" t="str">
        <f>VLOOKUP(A299,'Çalışan Listesi'!A:G,6,0)</f>
        <v>OPERATÖR</v>
      </c>
    </row>
    <row r="300" spans="1:33" x14ac:dyDescent="0.2">
      <c r="A300" s="2">
        <v>5314</v>
      </c>
      <c r="B300" s="3" t="s">
        <v>347</v>
      </c>
      <c r="C300" s="4">
        <v>44620</v>
      </c>
      <c r="D300" s="5">
        <f t="shared" si="26"/>
        <v>31</v>
      </c>
      <c r="E300" s="6">
        <f t="shared" si="23"/>
        <v>0.34444444444444444</v>
      </c>
      <c r="F300" s="25" t="s">
        <v>421</v>
      </c>
      <c r="G300" s="3" t="s">
        <v>86</v>
      </c>
      <c r="H300" s="106" t="str">
        <f>VLOOKUP(A300,'Çalışan Listesi'!A:G,7,0)</f>
        <v>1.KADEME</v>
      </c>
      <c r="I300" s="65">
        <f>IFERROR(VLOOKUP(A300,'Kaizen Listesi'!A:H,8,0),0)</f>
        <v>0</v>
      </c>
      <c r="J300" s="65">
        <f>I300*VLOOKUP($I$2,'Kriter Ağırlık'!$A$1:$B$8,2,0)</f>
        <v>0</v>
      </c>
      <c r="K300" s="65">
        <f>IFERROR(VLOOKUP(A300,'Hata Kartı '!A:H,8,0),0)</f>
        <v>0</v>
      </c>
      <c r="L300" s="65">
        <f>K300*(VLOOKUP($K$2,'Kriter Ağırlık'!$A$1:$B$8,2,0))</f>
        <v>0</v>
      </c>
      <c r="M300" s="65">
        <f>IFERROR(VLOOKUP(F300,'5S'!$B$8:$E$19,4,0),0)</f>
        <v>1</v>
      </c>
      <c r="N300" s="65">
        <f>VLOOKUP(M300,'5S'!$G$8:$I$14,3,1)*VLOOKUP($M$2,'Kriter Ağırlık'!$A$1:$B$8,2,0)*E300*X300</f>
        <v>2.6666666666666665</v>
      </c>
      <c r="O300" s="1">
        <f>IFERROR(VLOOKUP(A300,Devamsızlıklar!A:K,10,0),0)</f>
        <v>0</v>
      </c>
      <c r="P300" s="40">
        <f>VLOOKUP(O300,Aralıklar!$A$2:$C$5,3,1)*VLOOKUP($O$2,'Kriter Ağırlık'!$A$1:$B$8,2,0)*E300*X300</f>
        <v>3.3333333333333335</v>
      </c>
      <c r="Q300" s="1">
        <f>IFERROR(VLOOKUP(A300,Devamsızlıklar!A:K,8,0),0)</f>
        <v>0</v>
      </c>
      <c r="R300" s="33">
        <f>VLOOKUP(Q300,Aralıklar!$E$2:$G$5,3,1)</f>
        <v>1</v>
      </c>
      <c r="S300" s="33">
        <f>IFERROR(VLOOKUP(A300,Devamsızlıklar!A:K,9,0),0)</f>
        <v>0</v>
      </c>
      <c r="T300" s="33">
        <f>VLOOKUP(S300,Aralıklar!$I$2:$K$6,3,1)</f>
        <v>50</v>
      </c>
      <c r="U300" s="33">
        <f>IFERROR(VLOOKUP(A300,Devamsızlıklar!A:K,11,0),0)</f>
        <v>1</v>
      </c>
      <c r="V300" s="33">
        <f>VLOOKUP(U300,Aralıklar!$M$2:$O$6,3,1)</f>
        <v>50</v>
      </c>
      <c r="W300" s="40">
        <f>IF(X300=0,0,(T300+V300)*R300*VLOOKUP($W$2,'Kriter Ağırlık'!$A$1:$B$8,2,1)*E300)</f>
        <v>3.4444444444444446</v>
      </c>
      <c r="X300" s="40">
        <f>IFERROR(VLOOKUP(A300,Devamsızlıklar!A:M,13,0),1)</f>
        <v>0.967741935483871</v>
      </c>
      <c r="Y300" s="40">
        <f>(OEE!$K$6*VLOOKUP($Y$2,'Kriter Ağırlık'!$A$1:$B$8,2,1))*X300*E300</f>
        <v>11.666666666666668</v>
      </c>
      <c r="Z300" s="40">
        <f>(TELEF!$I$10*VLOOKUP($Z$2,'Kriter Ağırlık'!$A$1:$B$8,2,1))*X300*E300</f>
        <v>5</v>
      </c>
      <c r="AA300" s="40">
        <f t="shared" si="24"/>
        <v>26.111111111111114</v>
      </c>
      <c r="AB300" s="1">
        <v>5</v>
      </c>
      <c r="AC300" s="33">
        <f>VLOOKUP(AB300,'Kriter Ağırlık'!$A$12:$C$17,3,0)</f>
        <v>18.5</v>
      </c>
      <c r="AD300" s="1">
        <v>5</v>
      </c>
      <c r="AE300" s="33">
        <f>VLOOKUP(AD300,'Kriter Ağırlık'!$E$12:$G$24,3,0)</f>
        <v>1</v>
      </c>
      <c r="AF300" s="92">
        <f t="shared" si="25"/>
        <v>483.0555555555556</v>
      </c>
      <c r="AG300" t="str">
        <f>VLOOKUP(A300,'Çalışan Listesi'!A:G,6,0)</f>
        <v>OPERATÖR</v>
      </c>
    </row>
    <row r="301" spans="1:33" x14ac:dyDescent="0.2">
      <c r="A301" s="2">
        <v>5315</v>
      </c>
      <c r="B301" s="3" t="s">
        <v>348</v>
      </c>
      <c r="C301" s="4">
        <v>44620</v>
      </c>
      <c r="D301" s="5">
        <f t="shared" si="26"/>
        <v>31</v>
      </c>
      <c r="E301" s="6">
        <f t="shared" si="23"/>
        <v>0.34444444444444444</v>
      </c>
      <c r="F301" s="25" t="s">
        <v>421</v>
      </c>
      <c r="G301" s="3" t="s">
        <v>86</v>
      </c>
      <c r="H301" s="106" t="str">
        <f>VLOOKUP(A301,'Çalışan Listesi'!A:G,7,0)</f>
        <v>1.KADEME</v>
      </c>
      <c r="I301" s="65">
        <f>IFERROR(VLOOKUP(A301,'Kaizen Listesi'!A:H,8,0),0)</f>
        <v>0</v>
      </c>
      <c r="J301" s="65">
        <f>I301*VLOOKUP($I$2,'Kriter Ağırlık'!$A$1:$B$8,2,0)</f>
        <v>0</v>
      </c>
      <c r="K301" s="65">
        <f>IFERROR(VLOOKUP(A301,'Hata Kartı '!A:H,8,0),0)</f>
        <v>0</v>
      </c>
      <c r="L301" s="65">
        <f>K301*(VLOOKUP($K$2,'Kriter Ağırlık'!$A$1:$B$8,2,0))</f>
        <v>0</v>
      </c>
      <c r="M301" s="65">
        <f>IFERROR(VLOOKUP(F301,'5S'!$B$8:$E$19,4,0),0)</f>
        <v>1</v>
      </c>
      <c r="N301" s="65">
        <f>VLOOKUP(M301,'5S'!$G$8:$I$14,3,1)*VLOOKUP($M$2,'Kriter Ağırlık'!$A$1:$B$8,2,0)*E301*X301</f>
        <v>2.7555555555555555</v>
      </c>
      <c r="O301" s="1">
        <f>IFERROR(VLOOKUP(A301,Devamsızlıklar!A:K,10,0),0)</f>
        <v>0</v>
      </c>
      <c r="P301" s="40">
        <f>VLOOKUP(O301,Aralıklar!$A$2:$C$5,3,1)*VLOOKUP($O$2,'Kriter Ağırlık'!$A$1:$B$8,2,0)*E301*X301</f>
        <v>3.4444444444444446</v>
      </c>
      <c r="Q301" s="1">
        <f>IFERROR(VLOOKUP(A301,Devamsızlıklar!A:K,8,0),0)</f>
        <v>0</v>
      </c>
      <c r="R301" s="33">
        <f>VLOOKUP(Q301,Aralıklar!$E$2:$G$5,3,1)</f>
        <v>1</v>
      </c>
      <c r="S301" s="33">
        <f>IFERROR(VLOOKUP(A301,Devamsızlıklar!A:K,9,0),0)</f>
        <v>0</v>
      </c>
      <c r="T301" s="33">
        <f>VLOOKUP(S301,Aralıklar!$I$2:$K$6,3,1)</f>
        <v>50</v>
      </c>
      <c r="U301" s="33">
        <f>IFERROR(VLOOKUP(A301,Devamsızlıklar!A:K,11,0),0)</f>
        <v>0</v>
      </c>
      <c r="V301" s="33">
        <f>VLOOKUP(U301,Aralıklar!$M$2:$O$6,3,1)</f>
        <v>50</v>
      </c>
      <c r="W301" s="40">
        <f>IF(X301=0,0,(T301+V301)*R301*VLOOKUP($W$2,'Kriter Ağırlık'!$A$1:$B$8,2,1)*E301)</f>
        <v>3.4444444444444446</v>
      </c>
      <c r="X301" s="40">
        <f>IFERROR(VLOOKUP(A301,Devamsızlıklar!A:M,13,0),1)</f>
        <v>1</v>
      </c>
      <c r="Y301" s="40">
        <f>(OEE!$K$6*VLOOKUP($Y$2,'Kriter Ağırlık'!$A$1:$B$8,2,1))*X301*E301</f>
        <v>12.055555555555555</v>
      </c>
      <c r="Z301" s="40">
        <f>(TELEF!$I$10*VLOOKUP($Z$2,'Kriter Ağırlık'!$A$1:$B$8,2,1))*X301*E301</f>
        <v>5.166666666666667</v>
      </c>
      <c r="AA301" s="40">
        <f t="shared" si="24"/>
        <v>26.866666666666671</v>
      </c>
      <c r="AB301" s="1">
        <v>5</v>
      </c>
      <c r="AC301" s="33">
        <f>VLOOKUP(AB301,'Kriter Ağırlık'!$A$12:$C$17,3,0)</f>
        <v>18.5</v>
      </c>
      <c r="AD301" s="1">
        <v>5</v>
      </c>
      <c r="AE301" s="33">
        <f>VLOOKUP(AD301,'Kriter Ağırlık'!$E$12:$G$24,3,0)</f>
        <v>1</v>
      </c>
      <c r="AF301" s="92">
        <f t="shared" si="25"/>
        <v>497.03333333333342</v>
      </c>
      <c r="AG301" t="str">
        <f>VLOOKUP(A301,'Çalışan Listesi'!A:G,6,0)</f>
        <v>OPERATÖR</v>
      </c>
    </row>
    <row r="302" spans="1:33" x14ac:dyDescent="0.2">
      <c r="A302" s="2">
        <v>5316</v>
      </c>
      <c r="B302" s="3" t="s">
        <v>349</v>
      </c>
      <c r="C302" s="4">
        <v>44620</v>
      </c>
      <c r="D302" s="5">
        <f t="shared" si="26"/>
        <v>31</v>
      </c>
      <c r="E302" s="6">
        <f t="shared" si="23"/>
        <v>0.34444444444444444</v>
      </c>
      <c r="F302" s="25" t="s">
        <v>422</v>
      </c>
      <c r="G302" s="3" t="s">
        <v>54</v>
      </c>
      <c r="H302" s="106" t="str">
        <f>VLOOKUP(A302,'Çalışan Listesi'!A:G,7,0)</f>
        <v>1.KADEME</v>
      </c>
      <c r="I302" s="65">
        <f>IFERROR(VLOOKUP(A302,'Kaizen Listesi'!A:H,8,0),0)</f>
        <v>0</v>
      </c>
      <c r="J302" s="65">
        <f>I302*VLOOKUP($I$2,'Kriter Ağırlık'!$A$1:$B$8,2,0)</f>
        <v>0</v>
      </c>
      <c r="K302" s="65">
        <f>IFERROR(VLOOKUP(A302,'Hata Kartı '!A:H,8,0),0)</f>
        <v>0</v>
      </c>
      <c r="L302" s="65">
        <f>K302*(VLOOKUP($K$2,'Kriter Ağırlık'!$A$1:$B$8,2,0))</f>
        <v>0</v>
      </c>
      <c r="M302" s="65">
        <f>IFERROR(VLOOKUP(F302,'5S'!$B$8:$E$19,4,0),0)</f>
        <v>1</v>
      </c>
      <c r="N302" s="65">
        <f>VLOOKUP(M302,'5S'!$G$8:$I$14,3,1)*VLOOKUP($M$2,'Kriter Ağırlık'!$A$1:$B$8,2,0)*E302*X302</f>
        <v>2.5777777777777775</v>
      </c>
      <c r="O302" s="1">
        <f>IFERROR(VLOOKUP(A302,Devamsızlıklar!A:K,10,0),0)</f>
        <v>0</v>
      </c>
      <c r="P302" s="40">
        <f>VLOOKUP(O302,Aralıklar!$A$2:$C$5,3,1)*VLOOKUP($O$2,'Kriter Ağırlık'!$A$1:$B$8,2,0)*E302*X302</f>
        <v>3.2222222222222223</v>
      </c>
      <c r="Q302" s="1">
        <f>IFERROR(VLOOKUP(A302,Devamsızlıklar!A:K,8,0),0)</f>
        <v>0</v>
      </c>
      <c r="R302" s="33">
        <f>VLOOKUP(Q302,Aralıklar!$E$2:$G$5,3,1)</f>
        <v>1</v>
      </c>
      <c r="S302" s="33">
        <f>IFERROR(VLOOKUP(A302,Devamsızlıklar!A:K,9,0),0)</f>
        <v>0</v>
      </c>
      <c r="T302" s="33">
        <f>VLOOKUP(S302,Aralıklar!$I$2:$K$6,3,1)</f>
        <v>50</v>
      </c>
      <c r="U302" s="33">
        <f>IFERROR(VLOOKUP(A302,Devamsızlıklar!A:K,11,0),0)</f>
        <v>2</v>
      </c>
      <c r="V302" s="33">
        <f>VLOOKUP(U302,Aralıklar!$M$2:$O$6,3,1)</f>
        <v>25</v>
      </c>
      <c r="W302" s="40">
        <f>IF(X302=0,0,(T302+V302)*R302*VLOOKUP($W$2,'Kriter Ağırlık'!$A$1:$B$8,2,1)*E302)</f>
        <v>2.5833333333333335</v>
      </c>
      <c r="X302" s="40">
        <f>IFERROR(VLOOKUP(A302,Devamsızlıklar!A:M,13,0),1)</f>
        <v>0.93548387096774188</v>
      </c>
      <c r="Y302" s="40">
        <f>(OEE!$K$6*VLOOKUP($Y$2,'Kriter Ağırlık'!$A$1:$B$8,2,1))*X302*E302</f>
        <v>11.277777777777779</v>
      </c>
      <c r="Z302" s="40">
        <f>(TELEF!$I$10*VLOOKUP($Z$2,'Kriter Ağırlık'!$A$1:$B$8,2,1))*X302*E302</f>
        <v>4.833333333333333</v>
      </c>
      <c r="AA302" s="40">
        <f t="shared" si="24"/>
        <v>24.494444444444444</v>
      </c>
      <c r="AB302" s="1">
        <v>5</v>
      </c>
      <c r="AC302" s="33">
        <f>VLOOKUP(AB302,'Kriter Ağırlık'!$A$12:$C$17,3,0)</f>
        <v>18.5</v>
      </c>
      <c r="AD302" s="1">
        <v>5</v>
      </c>
      <c r="AE302" s="33">
        <f>VLOOKUP(AD302,'Kriter Ağırlık'!$E$12:$G$24,3,0)</f>
        <v>1</v>
      </c>
      <c r="AF302" s="92">
        <f t="shared" si="25"/>
        <v>453.14722222222218</v>
      </c>
      <c r="AG302" t="str">
        <f>VLOOKUP(A302,'Çalışan Listesi'!A:G,6,0)</f>
        <v>OPERATÖR</v>
      </c>
    </row>
    <row r="303" spans="1:33" x14ac:dyDescent="0.2">
      <c r="A303" s="2">
        <v>5317</v>
      </c>
      <c r="B303" s="3" t="s">
        <v>350</v>
      </c>
      <c r="C303" s="4">
        <v>44620</v>
      </c>
      <c r="D303" s="5">
        <f t="shared" si="26"/>
        <v>31</v>
      </c>
      <c r="E303" s="6">
        <f t="shared" si="23"/>
        <v>0.34444444444444444</v>
      </c>
      <c r="F303" s="25" t="s">
        <v>422</v>
      </c>
      <c r="G303" s="3" t="s">
        <v>54</v>
      </c>
      <c r="H303" s="106" t="str">
        <f>VLOOKUP(A303,'Çalışan Listesi'!A:G,7,0)</f>
        <v>1.KADEME</v>
      </c>
      <c r="I303" s="65">
        <f>IFERROR(VLOOKUP(A303,'Kaizen Listesi'!A:H,8,0),0)</f>
        <v>0</v>
      </c>
      <c r="J303" s="65">
        <f>I303*VLOOKUP($I$2,'Kriter Ağırlık'!$A$1:$B$8,2,0)</f>
        <v>0</v>
      </c>
      <c r="K303" s="65">
        <f>IFERROR(VLOOKUP(A303,'Hata Kartı '!A:H,8,0),0)</f>
        <v>0</v>
      </c>
      <c r="L303" s="65">
        <f>K303*(VLOOKUP($K$2,'Kriter Ağırlık'!$A$1:$B$8,2,0))</f>
        <v>0</v>
      </c>
      <c r="M303" s="65">
        <f>IFERROR(VLOOKUP(F303,'5S'!$B$8:$E$19,4,0),0)</f>
        <v>1</v>
      </c>
      <c r="N303" s="65">
        <f>VLOOKUP(M303,'5S'!$G$8:$I$14,3,1)*VLOOKUP($M$2,'Kriter Ağırlık'!$A$1:$B$8,2,0)*E303*X303</f>
        <v>2.4</v>
      </c>
      <c r="O303" s="1">
        <f>IFERROR(VLOOKUP(A303,Devamsızlıklar!A:K,10,0),0)</f>
        <v>0</v>
      </c>
      <c r="P303" s="40">
        <f>VLOOKUP(O303,Aralıklar!$A$2:$C$5,3,1)*VLOOKUP($O$2,'Kriter Ağırlık'!$A$1:$B$8,2,0)*E303*X303</f>
        <v>3</v>
      </c>
      <c r="Q303" s="1">
        <f>IFERROR(VLOOKUP(A303,Devamsızlıklar!A:K,8,0),0)</f>
        <v>1</v>
      </c>
      <c r="R303" s="33">
        <f>VLOOKUP(Q303,Aralıklar!$E$2:$G$5,3,1)</f>
        <v>0</v>
      </c>
      <c r="S303" s="33">
        <f>IFERROR(VLOOKUP(A303,Devamsızlıklar!A:K,9,0),0)</f>
        <v>0</v>
      </c>
      <c r="T303" s="33">
        <f>VLOOKUP(S303,Aralıklar!$I$2:$K$6,3,1)</f>
        <v>50</v>
      </c>
      <c r="U303" s="33">
        <f>IFERROR(VLOOKUP(A303,Devamsızlıklar!A:K,11,0),0)</f>
        <v>3</v>
      </c>
      <c r="V303" s="33">
        <f>VLOOKUP(U303,Aralıklar!$M$2:$O$6,3,1)</f>
        <v>0</v>
      </c>
      <c r="W303" s="40">
        <f>IF(X303=0,0,(T303+V303)*R303*VLOOKUP($W$2,'Kriter Ağırlık'!$A$1:$B$8,2,1)*E303)</f>
        <v>0</v>
      </c>
      <c r="X303" s="40">
        <f>IFERROR(VLOOKUP(A303,Devamsızlıklar!A:M,13,0),1)</f>
        <v>0.87096774193548387</v>
      </c>
      <c r="Y303" s="40">
        <f>(OEE!$K$6*VLOOKUP($Y$2,'Kriter Ağırlık'!$A$1:$B$8,2,1))*X303*E303</f>
        <v>10.5</v>
      </c>
      <c r="Z303" s="40">
        <f>(TELEF!$I$10*VLOOKUP($Z$2,'Kriter Ağırlık'!$A$1:$B$8,2,1))*X303*E303</f>
        <v>4.5</v>
      </c>
      <c r="AA303" s="40">
        <f t="shared" si="24"/>
        <v>20.399999999999999</v>
      </c>
      <c r="AB303" s="1">
        <v>5</v>
      </c>
      <c r="AC303" s="33">
        <f>VLOOKUP(AB303,'Kriter Ağırlık'!$A$12:$C$17,3,0)</f>
        <v>18.5</v>
      </c>
      <c r="AD303" s="1">
        <v>5</v>
      </c>
      <c r="AE303" s="33">
        <f>VLOOKUP(AD303,'Kriter Ağırlık'!$E$12:$G$24,3,0)</f>
        <v>1</v>
      </c>
      <c r="AF303" s="92">
        <f t="shared" si="25"/>
        <v>377.4</v>
      </c>
      <c r="AG303" t="str">
        <f>VLOOKUP(A303,'Çalışan Listesi'!A:G,6,0)</f>
        <v>OPERATÖR</v>
      </c>
    </row>
    <row r="304" spans="1:33" x14ac:dyDescent="0.2">
      <c r="A304" s="2">
        <v>5319</v>
      </c>
      <c r="B304" s="3" t="s">
        <v>351</v>
      </c>
      <c r="C304" s="4">
        <v>44627</v>
      </c>
      <c r="D304" s="5">
        <f t="shared" si="26"/>
        <v>24</v>
      </c>
      <c r="E304" s="6">
        <f t="shared" si="23"/>
        <v>0.26666666666666666</v>
      </c>
      <c r="F304" s="25" t="s">
        <v>421</v>
      </c>
      <c r="G304" s="3" t="s">
        <v>10</v>
      </c>
      <c r="H304" s="106" t="str">
        <f>VLOOKUP(A304,'Çalışan Listesi'!A:G,7,0)</f>
        <v>1.KADEME</v>
      </c>
      <c r="I304" s="65">
        <f>IFERROR(VLOOKUP(A304,'Kaizen Listesi'!A:H,8,0),0)</f>
        <v>0</v>
      </c>
      <c r="J304" s="65">
        <f>I304*VLOOKUP($I$2,'Kriter Ağırlık'!$A$1:$B$8,2,0)</f>
        <v>0</v>
      </c>
      <c r="K304" s="65">
        <f>IFERROR(VLOOKUP(A304,'Hata Kartı '!A:H,8,0),0)</f>
        <v>0</v>
      </c>
      <c r="L304" s="65">
        <f>K304*(VLOOKUP($K$2,'Kriter Ağırlık'!$A$1:$B$8,2,0))</f>
        <v>0</v>
      </c>
      <c r="M304" s="65">
        <f>IFERROR(VLOOKUP(F304,'5S'!$B$8:$E$19,4,0),0)</f>
        <v>1</v>
      </c>
      <c r="N304" s="65">
        <f>VLOOKUP(M304,'5S'!$G$8:$I$14,3,1)*VLOOKUP($M$2,'Kriter Ağırlık'!$A$1:$B$8,2,0)*E304*X304</f>
        <v>2.1333333333333333</v>
      </c>
      <c r="O304" s="1">
        <f>IFERROR(VLOOKUP(A304,Devamsızlıklar!A:K,10,0),0)</f>
        <v>0</v>
      </c>
      <c r="P304" s="40">
        <f>VLOOKUP(O304,Aralıklar!$A$2:$C$5,3,1)*VLOOKUP($O$2,'Kriter Ağırlık'!$A$1:$B$8,2,0)*E304*X304</f>
        <v>2.6666666666666665</v>
      </c>
      <c r="Q304" s="1">
        <f>IFERROR(VLOOKUP(A304,Devamsızlıklar!A:K,8,0),0)</f>
        <v>0</v>
      </c>
      <c r="R304" s="33">
        <f>VLOOKUP(Q304,Aralıklar!$E$2:$G$5,3,1)</f>
        <v>1</v>
      </c>
      <c r="S304" s="33">
        <f>IFERROR(VLOOKUP(A304,Devamsızlıklar!A:K,9,0),0)</f>
        <v>0</v>
      </c>
      <c r="T304" s="33">
        <f>VLOOKUP(S304,Aralıklar!$I$2:$K$6,3,1)</f>
        <v>50</v>
      </c>
      <c r="U304" s="33">
        <f>IFERROR(VLOOKUP(A304,Devamsızlıklar!A:K,11,0),0)</f>
        <v>0</v>
      </c>
      <c r="V304" s="33">
        <f>VLOOKUP(U304,Aralıklar!$M$2:$O$6,3,1)</f>
        <v>50</v>
      </c>
      <c r="W304" s="40">
        <f>IF(X304=0,0,(T304+V304)*R304*VLOOKUP($W$2,'Kriter Ağırlık'!$A$1:$B$8,2,1)*E304)</f>
        <v>2.6666666666666665</v>
      </c>
      <c r="X304" s="40">
        <f>IFERROR(VLOOKUP(A304,Devamsızlıklar!A:M,13,0),1)</f>
        <v>1</v>
      </c>
      <c r="Y304" s="40">
        <f>(OEE!$K$6*VLOOKUP($Y$2,'Kriter Ağırlık'!$A$1:$B$8,2,1))*X304*E304</f>
        <v>9.3333333333333339</v>
      </c>
      <c r="Z304" s="40">
        <f>(TELEF!$I$10*VLOOKUP($Z$2,'Kriter Ağırlık'!$A$1:$B$8,2,1))*X304*E304</f>
        <v>4</v>
      </c>
      <c r="AA304" s="40">
        <f t="shared" si="24"/>
        <v>20.8</v>
      </c>
      <c r="AB304" s="1">
        <v>5</v>
      </c>
      <c r="AC304" s="33">
        <f>VLOOKUP(AB304,'Kriter Ağırlık'!$A$12:$C$17,3,0)</f>
        <v>18.5</v>
      </c>
      <c r="AD304" s="1">
        <v>5</v>
      </c>
      <c r="AE304" s="33">
        <f>VLOOKUP(AD304,'Kriter Ağırlık'!$E$12:$G$24,3,0)</f>
        <v>1</v>
      </c>
      <c r="AF304" s="92">
        <f t="shared" si="25"/>
        <v>384.8</v>
      </c>
      <c r="AG304" t="str">
        <f>VLOOKUP(A304,'Çalışan Listesi'!A:G,6,0)</f>
        <v>OPERATÖR</v>
      </c>
    </row>
    <row r="305" spans="1:33" x14ac:dyDescent="0.2">
      <c r="A305" s="2">
        <v>5321</v>
      </c>
      <c r="B305" s="3" t="s">
        <v>354</v>
      </c>
      <c r="C305" s="4">
        <v>44627</v>
      </c>
      <c r="D305" s="5">
        <f t="shared" si="26"/>
        <v>24</v>
      </c>
      <c r="E305" s="6">
        <f t="shared" si="23"/>
        <v>0.26666666666666666</v>
      </c>
      <c r="F305" s="25" t="s">
        <v>421</v>
      </c>
      <c r="G305" s="3" t="s">
        <v>10</v>
      </c>
      <c r="H305" s="106" t="str">
        <f>VLOOKUP(A305,'Çalışan Listesi'!A:G,7,0)</f>
        <v>1.KADEME</v>
      </c>
      <c r="I305" s="65">
        <f>IFERROR(VLOOKUP(A305,'Kaizen Listesi'!A:H,8,0),0)</f>
        <v>0</v>
      </c>
      <c r="J305" s="65">
        <f>I305*VLOOKUP($I$2,'Kriter Ağırlık'!$A$1:$B$8,2,0)</f>
        <v>0</v>
      </c>
      <c r="K305" s="65">
        <f>IFERROR(VLOOKUP(A305,'Hata Kartı '!A:H,8,0),0)</f>
        <v>0</v>
      </c>
      <c r="L305" s="65">
        <f>K305*(VLOOKUP($K$2,'Kriter Ağırlık'!$A$1:$B$8,2,0))</f>
        <v>0</v>
      </c>
      <c r="M305" s="65">
        <f>IFERROR(VLOOKUP(F305,'5S'!$B$8:$E$19,4,0),0)</f>
        <v>1</v>
      </c>
      <c r="N305" s="65">
        <f>VLOOKUP(M305,'5S'!$G$8:$I$14,3,1)*VLOOKUP($M$2,'Kriter Ağırlık'!$A$1:$B$8,2,0)*E305*X305</f>
        <v>2.1333333333333333</v>
      </c>
      <c r="O305" s="1">
        <f>IFERROR(VLOOKUP(A305,Devamsızlıklar!A:K,10,0),0)</f>
        <v>0</v>
      </c>
      <c r="P305" s="40">
        <f>VLOOKUP(O305,Aralıklar!$A$2:$C$5,3,1)*VLOOKUP($O$2,'Kriter Ağırlık'!$A$1:$B$8,2,0)*E305*X305</f>
        <v>2.6666666666666665</v>
      </c>
      <c r="Q305" s="1">
        <f>IFERROR(VLOOKUP(A305,Devamsızlıklar!A:K,8,0),0)</f>
        <v>0</v>
      </c>
      <c r="R305" s="33">
        <f>VLOOKUP(Q305,Aralıklar!$E$2:$G$5,3,1)</f>
        <v>1</v>
      </c>
      <c r="S305" s="33">
        <f>IFERROR(VLOOKUP(A305,Devamsızlıklar!A:K,9,0),0)</f>
        <v>0</v>
      </c>
      <c r="T305" s="33">
        <f>VLOOKUP(S305,Aralıklar!$I$2:$K$6,3,1)</f>
        <v>50</v>
      </c>
      <c r="U305" s="33">
        <f>IFERROR(VLOOKUP(A305,Devamsızlıklar!A:K,11,0),0)</f>
        <v>0</v>
      </c>
      <c r="V305" s="33">
        <f>VLOOKUP(U305,Aralıklar!$M$2:$O$6,3,1)</f>
        <v>50</v>
      </c>
      <c r="W305" s="40">
        <f>IF(X305=0,0,(T305+V305)*R305*VLOOKUP($W$2,'Kriter Ağırlık'!$A$1:$B$8,2,1)*E305)</f>
        <v>2.6666666666666665</v>
      </c>
      <c r="X305" s="40">
        <f>IFERROR(VLOOKUP(A305,Devamsızlıklar!A:M,13,0),1)</f>
        <v>1</v>
      </c>
      <c r="Y305" s="40">
        <f>(OEE!$K$6*VLOOKUP($Y$2,'Kriter Ağırlık'!$A$1:$B$8,2,1))*X305*E305</f>
        <v>9.3333333333333339</v>
      </c>
      <c r="Z305" s="40">
        <f>(TELEF!$I$10*VLOOKUP($Z$2,'Kriter Ağırlık'!$A$1:$B$8,2,1))*X305*E305</f>
        <v>4</v>
      </c>
      <c r="AA305" s="40">
        <f t="shared" si="24"/>
        <v>20.8</v>
      </c>
      <c r="AB305" s="1">
        <v>5</v>
      </c>
      <c r="AC305" s="33">
        <f>VLOOKUP(AB305,'Kriter Ağırlık'!$A$12:$C$17,3,0)</f>
        <v>18.5</v>
      </c>
      <c r="AD305" s="1">
        <v>5</v>
      </c>
      <c r="AE305" s="33">
        <f>VLOOKUP(AD305,'Kriter Ağırlık'!$E$12:$G$24,3,0)</f>
        <v>1</v>
      </c>
      <c r="AF305" s="92">
        <f t="shared" si="25"/>
        <v>384.8</v>
      </c>
      <c r="AG305" t="str">
        <f>VLOOKUP(A305,'Çalışan Listesi'!A:G,6,0)</f>
        <v>OPERATÖR</v>
      </c>
    </row>
    <row r="306" spans="1:33" x14ac:dyDescent="0.2">
      <c r="A306" s="2">
        <v>5325</v>
      </c>
      <c r="B306" s="3" t="s">
        <v>355</v>
      </c>
      <c r="C306" s="4">
        <v>44634</v>
      </c>
      <c r="D306" s="5">
        <f t="shared" si="26"/>
        <v>17</v>
      </c>
      <c r="E306" s="6">
        <f t="shared" si="23"/>
        <v>0.18888888888888888</v>
      </c>
      <c r="F306" s="25" t="s">
        <v>428</v>
      </c>
      <c r="G306" s="3" t="s">
        <v>190</v>
      </c>
      <c r="H306" s="106" t="str">
        <f>VLOOKUP(A306,'Çalışan Listesi'!A:G,7,0)</f>
        <v>TEMİZLİK</v>
      </c>
      <c r="I306" s="65">
        <f>IFERROR(VLOOKUP(A306,'Kaizen Listesi'!A:H,8,0),0)</f>
        <v>0</v>
      </c>
      <c r="J306" s="65">
        <f>I306*VLOOKUP($I$2,'Kriter Ağırlık'!$A$1:$B$8,2,0)</f>
        <v>0</v>
      </c>
      <c r="K306" s="65">
        <f>IFERROR(VLOOKUP(A306,'Hata Kartı '!A:H,8,0),0)</f>
        <v>0</v>
      </c>
      <c r="L306" s="65">
        <f>K306*(VLOOKUP($K$2,'Kriter Ağırlık'!$A$1:$B$8,2,0))</f>
        <v>0</v>
      </c>
      <c r="M306" s="65">
        <f>IFERROR(VLOOKUP(F306,'5S'!$B$8:$E$19,4,0),0)</f>
        <v>1</v>
      </c>
      <c r="N306" s="65">
        <f>VLOOKUP(M306,'5S'!$G$8:$I$14,3,1)*VLOOKUP($M$2,'Kriter Ağırlık'!$A$1:$B$8,2,0)*E306*X306</f>
        <v>1.5111111111111111</v>
      </c>
      <c r="O306" s="1">
        <f>IFERROR(VLOOKUP(A306,Devamsızlıklar!A:K,10,0),0)</f>
        <v>0</v>
      </c>
      <c r="P306" s="40">
        <f>VLOOKUP(O306,Aralıklar!$A$2:$C$5,3,1)*VLOOKUP($O$2,'Kriter Ağırlık'!$A$1:$B$8,2,0)*E306*X306</f>
        <v>1.8888888888888888</v>
      </c>
      <c r="Q306" s="1">
        <f>IFERROR(VLOOKUP(A306,Devamsızlıklar!A:K,8,0),0)</f>
        <v>0</v>
      </c>
      <c r="R306" s="33">
        <f>VLOOKUP(Q306,Aralıklar!$E$2:$G$5,3,1)</f>
        <v>1</v>
      </c>
      <c r="S306" s="33">
        <f>IFERROR(VLOOKUP(A306,Devamsızlıklar!A:K,9,0),0)</f>
        <v>0</v>
      </c>
      <c r="T306" s="33">
        <f>VLOOKUP(S306,Aralıklar!$I$2:$K$6,3,1)</f>
        <v>50</v>
      </c>
      <c r="U306" s="33">
        <f>IFERROR(VLOOKUP(A306,Devamsızlıklar!A:K,11,0),0)</f>
        <v>0</v>
      </c>
      <c r="V306" s="33">
        <f>VLOOKUP(U306,Aralıklar!$M$2:$O$6,3,1)</f>
        <v>50</v>
      </c>
      <c r="W306" s="40">
        <f>IF(X306=0,0,(T306+V306)*R306*VLOOKUP($W$2,'Kriter Ağırlık'!$A$1:$B$8,2,1)*E306)</f>
        <v>1.8888888888888888</v>
      </c>
      <c r="X306" s="40">
        <f>IFERROR(VLOOKUP(A306,Devamsızlıklar!A:M,13,0),1)</f>
        <v>1</v>
      </c>
      <c r="Y306" s="40">
        <f>(OEE!$K$6*VLOOKUP($Y$2,'Kriter Ağırlık'!$A$1:$B$8,2,1))*X306*E306</f>
        <v>6.6111111111111107</v>
      </c>
      <c r="Z306" s="40">
        <f>(TELEF!$I$10*VLOOKUP($Z$2,'Kriter Ağırlık'!$A$1:$B$8,2,1))*X306*E306</f>
        <v>2.833333333333333</v>
      </c>
      <c r="AA306" s="40">
        <f t="shared" si="24"/>
        <v>14.733333333333331</v>
      </c>
      <c r="AB306" s="1">
        <v>5</v>
      </c>
      <c r="AC306" s="33">
        <f>VLOOKUP(AB306,'Kriter Ağırlık'!$A$12:$C$17,3,0)</f>
        <v>18.5</v>
      </c>
      <c r="AD306" s="1">
        <v>5</v>
      </c>
      <c r="AE306" s="33">
        <f>VLOOKUP(AD306,'Kriter Ağırlık'!$E$12:$G$24,3,0)</f>
        <v>1</v>
      </c>
      <c r="AF306" s="92">
        <f t="shared" si="25"/>
        <v>272.56666666666661</v>
      </c>
      <c r="AG306" t="str">
        <f>VLOOKUP(A306,'Çalışan Listesi'!A:G,6,0)</f>
        <v>OPERATÖR</v>
      </c>
    </row>
    <row r="307" spans="1:33" x14ac:dyDescent="0.2">
      <c r="A307" s="2">
        <v>5326</v>
      </c>
      <c r="B307" s="3" t="s">
        <v>356</v>
      </c>
      <c r="C307" s="4">
        <v>44634</v>
      </c>
      <c r="D307" s="5">
        <f t="shared" si="26"/>
        <v>17</v>
      </c>
      <c r="E307" s="6">
        <f t="shared" si="23"/>
        <v>0.18888888888888888</v>
      </c>
      <c r="F307" s="25" t="s">
        <v>422</v>
      </c>
      <c r="G307" s="3" t="s">
        <v>54</v>
      </c>
      <c r="H307" s="106" t="str">
        <f>VLOOKUP(A307,'Çalışan Listesi'!A:G,7,0)</f>
        <v>1.KADEME</v>
      </c>
      <c r="I307" s="65">
        <f>IFERROR(VLOOKUP(A307,'Kaizen Listesi'!A:H,8,0),0)</f>
        <v>0</v>
      </c>
      <c r="J307" s="65">
        <f>I307*VLOOKUP($I$2,'Kriter Ağırlık'!$A$1:$B$8,2,0)</f>
        <v>0</v>
      </c>
      <c r="K307" s="65">
        <f>IFERROR(VLOOKUP(A307,'Hata Kartı '!A:H,8,0),0)</f>
        <v>0</v>
      </c>
      <c r="L307" s="65">
        <f>K307*(VLOOKUP($K$2,'Kriter Ağırlık'!$A$1:$B$8,2,0))</f>
        <v>0</v>
      </c>
      <c r="M307" s="65">
        <f>IFERROR(VLOOKUP(F307,'5S'!$B$8:$E$19,4,0),0)</f>
        <v>1</v>
      </c>
      <c r="N307" s="65">
        <f>VLOOKUP(M307,'5S'!$G$8:$I$14,3,1)*VLOOKUP($M$2,'Kriter Ağırlık'!$A$1:$B$8,2,0)*E307*X307</f>
        <v>1.4222222222222221</v>
      </c>
      <c r="O307" s="1">
        <f>IFERROR(VLOOKUP(A307,Devamsızlıklar!A:K,10,0),0)</f>
        <v>0</v>
      </c>
      <c r="P307" s="40">
        <f>VLOOKUP(O307,Aralıklar!$A$2:$C$5,3,1)*VLOOKUP($O$2,'Kriter Ağırlık'!$A$1:$B$8,2,0)*E307*X307</f>
        <v>1.7777777777777777</v>
      </c>
      <c r="Q307" s="1">
        <f>IFERROR(VLOOKUP(A307,Devamsızlıklar!A:K,8,0),0)</f>
        <v>0</v>
      </c>
      <c r="R307" s="33">
        <f>VLOOKUP(Q307,Aralıklar!$E$2:$G$5,3,1)</f>
        <v>1</v>
      </c>
      <c r="S307" s="33">
        <f>IFERROR(VLOOKUP(A307,Devamsızlıklar!A:K,9,0),0)</f>
        <v>0</v>
      </c>
      <c r="T307" s="33">
        <f>VLOOKUP(S307,Aralıklar!$I$2:$K$6,3,1)</f>
        <v>50</v>
      </c>
      <c r="U307" s="33">
        <f>IFERROR(VLOOKUP(A307,Devamsızlıklar!A:K,11,0),0)</f>
        <v>1</v>
      </c>
      <c r="V307" s="33">
        <f>VLOOKUP(U307,Aralıklar!$M$2:$O$6,3,1)</f>
        <v>50</v>
      </c>
      <c r="W307" s="40">
        <f>IF(X307=0,0,(T307+V307)*R307*VLOOKUP($W$2,'Kriter Ağırlık'!$A$1:$B$8,2,1)*E307)</f>
        <v>1.8888888888888888</v>
      </c>
      <c r="X307" s="40">
        <f>IFERROR(VLOOKUP(A307,Devamsızlıklar!A:M,13,0),1)</f>
        <v>0.94117647058823528</v>
      </c>
      <c r="Y307" s="40">
        <f>(OEE!$K$6*VLOOKUP($Y$2,'Kriter Ağırlık'!$A$1:$B$8,2,1))*X307*E307</f>
        <v>6.2222222222222214</v>
      </c>
      <c r="Z307" s="40">
        <f>(TELEF!$I$10*VLOOKUP($Z$2,'Kriter Ağırlık'!$A$1:$B$8,2,1))*X307*E307</f>
        <v>2.6666666666666665</v>
      </c>
      <c r="AA307" s="40">
        <f t="shared" si="24"/>
        <v>13.977777777777776</v>
      </c>
      <c r="AB307" s="1">
        <v>5</v>
      </c>
      <c r="AC307" s="33">
        <f>VLOOKUP(AB307,'Kriter Ağırlık'!$A$12:$C$17,3,0)</f>
        <v>18.5</v>
      </c>
      <c r="AD307" s="1">
        <v>5</v>
      </c>
      <c r="AE307" s="33">
        <f>VLOOKUP(AD307,'Kriter Ağırlık'!$E$12:$G$24,3,0)</f>
        <v>1</v>
      </c>
      <c r="AF307" s="92">
        <f t="shared" si="25"/>
        <v>258.58888888888885</v>
      </c>
      <c r="AG307" t="str">
        <f>VLOOKUP(A307,'Çalışan Listesi'!A:G,6,0)</f>
        <v>OPERATÖR</v>
      </c>
    </row>
    <row r="308" spans="1:33" x14ac:dyDescent="0.2">
      <c r="A308" s="2">
        <v>5327</v>
      </c>
      <c r="B308" s="3" t="s">
        <v>357</v>
      </c>
      <c r="C308" s="4">
        <v>44634</v>
      </c>
      <c r="D308" s="5">
        <f t="shared" si="26"/>
        <v>17</v>
      </c>
      <c r="E308" s="6">
        <f t="shared" si="23"/>
        <v>0.18888888888888888</v>
      </c>
      <c r="F308" s="25" t="s">
        <v>422</v>
      </c>
      <c r="G308" s="3" t="s">
        <v>54</v>
      </c>
      <c r="H308" s="106" t="str">
        <f>VLOOKUP(A308,'Çalışan Listesi'!A:G,7,0)</f>
        <v>1.KADEME</v>
      </c>
      <c r="I308" s="65">
        <f>IFERROR(VLOOKUP(A308,'Kaizen Listesi'!A:H,8,0),0)</f>
        <v>0</v>
      </c>
      <c r="J308" s="65">
        <f>I308*VLOOKUP($I$2,'Kriter Ağırlık'!$A$1:$B$8,2,0)</f>
        <v>0</v>
      </c>
      <c r="K308" s="65">
        <f>IFERROR(VLOOKUP(A308,'Hata Kartı '!A:H,8,0),0)</f>
        <v>0</v>
      </c>
      <c r="L308" s="65">
        <f>K308*(VLOOKUP($K$2,'Kriter Ağırlık'!$A$1:$B$8,2,0))</f>
        <v>0</v>
      </c>
      <c r="M308" s="65">
        <f>IFERROR(VLOOKUP(F308,'5S'!$B$8:$E$19,4,0),0)</f>
        <v>1</v>
      </c>
      <c r="N308" s="65">
        <f>VLOOKUP(M308,'5S'!$G$8:$I$14,3,1)*VLOOKUP($M$2,'Kriter Ağırlık'!$A$1:$B$8,2,0)*E308*X308</f>
        <v>1.5111111111111111</v>
      </c>
      <c r="O308" s="1">
        <f>IFERROR(VLOOKUP(A308,Devamsızlıklar!A:K,10,0),0)</f>
        <v>0</v>
      </c>
      <c r="P308" s="40">
        <f>VLOOKUP(O308,Aralıklar!$A$2:$C$5,3,1)*VLOOKUP($O$2,'Kriter Ağırlık'!$A$1:$B$8,2,0)*E308*X308</f>
        <v>1.8888888888888888</v>
      </c>
      <c r="Q308" s="1">
        <f>IFERROR(VLOOKUP(A308,Devamsızlıklar!A:K,8,0),0)</f>
        <v>0</v>
      </c>
      <c r="R308" s="33">
        <f>VLOOKUP(Q308,Aralıklar!$E$2:$G$5,3,1)</f>
        <v>1</v>
      </c>
      <c r="S308" s="33">
        <f>IFERROR(VLOOKUP(A308,Devamsızlıklar!A:K,9,0),0)</f>
        <v>0</v>
      </c>
      <c r="T308" s="33">
        <f>VLOOKUP(S308,Aralıklar!$I$2:$K$6,3,1)</f>
        <v>50</v>
      </c>
      <c r="U308" s="33">
        <f>IFERROR(VLOOKUP(A308,Devamsızlıklar!A:K,11,0),0)</f>
        <v>0</v>
      </c>
      <c r="V308" s="33">
        <f>VLOOKUP(U308,Aralıklar!$M$2:$O$6,3,1)</f>
        <v>50</v>
      </c>
      <c r="W308" s="40">
        <f>IF(X308=0,0,(T308+V308)*R308*VLOOKUP($W$2,'Kriter Ağırlık'!$A$1:$B$8,2,1)*E308)</f>
        <v>1.8888888888888888</v>
      </c>
      <c r="X308" s="40">
        <f>IFERROR(VLOOKUP(A308,Devamsızlıklar!A:M,13,0),1)</f>
        <v>1</v>
      </c>
      <c r="Y308" s="40">
        <f>(OEE!$K$6*VLOOKUP($Y$2,'Kriter Ağırlık'!$A$1:$B$8,2,1))*X308*E308</f>
        <v>6.6111111111111107</v>
      </c>
      <c r="Z308" s="40">
        <f>(TELEF!$I$10*VLOOKUP($Z$2,'Kriter Ağırlık'!$A$1:$B$8,2,1))*X308*E308</f>
        <v>2.833333333333333</v>
      </c>
      <c r="AA308" s="40">
        <f t="shared" si="24"/>
        <v>14.733333333333331</v>
      </c>
      <c r="AB308" s="1">
        <v>5</v>
      </c>
      <c r="AC308" s="33">
        <f>VLOOKUP(AB308,'Kriter Ağırlık'!$A$12:$C$17,3,0)</f>
        <v>18.5</v>
      </c>
      <c r="AD308" s="76">
        <v>5</v>
      </c>
      <c r="AE308" s="33">
        <f>VLOOKUP(AD308,'Kriter Ağırlık'!$E$12:$G$24,3,0)</f>
        <v>1</v>
      </c>
      <c r="AF308" s="92">
        <f t="shared" si="25"/>
        <v>272.56666666666661</v>
      </c>
      <c r="AG308" t="str">
        <f>VLOOKUP(A308,'Çalışan Listesi'!A:G,6,0)</f>
        <v>OPERATÖR</v>
      </c>
    </row>
    <row r="309" spans="1:33" x14ac:dyDescent="0.2">
      <c r="A309" s="2">
        <v>5328</v>
      </c>
      <c r="B309" s="3" t="s">
        <v>358</v>
      </c>
      <c r="C309" s="4">
        <v>44634</v>
      </c>
      <c r="D309" s="5">
        <f t="shared" si="26"/>
        <v>17</v>
      </c>
      <c r="E309" s="6">
        <f t="shared" si="23"/>
        <v>0.18888888888888888</v>
      </c>
      <c r="F309" s="25" t="s">
        <v>421</v>
      </c>
      <c r="G309" s="3" t="s">
        <v>10</v>
      </c>
      <c r="H309" s="106" t="str">
        <f>VLOOKUP(A309,'Çalışan Listesi'!A:G,7,0)</f>
        <v>1.KADEME</v>
      </c>
      <c r="I309" s="65">
        <f>IFERROR(VLOOKUP(A309,'Kaizen Listesi'!A:H,8,0),0)</f>
        <v>0</v>
      </c>
      <c r="J309" s="65">
        <f>I309*VLOOKUP($I$2,'Kriter Ağırlık'!$A$1:$B$8,2,0)</f>
        <v>0</v>
      </c>
      <c r="K309" s="65">
        <f>IFERROR(VLOOKUP(A309,'Hata Kartı '!A:H,8,0),0)</f>
        <v>0</v>
      </c>
      <c r="L309" s="65">
        <f>K309*(VLOOKUP($K$2,'Kriter Ağırlık'!$A$1:$B$8,2,0))</f>
        <v>0</v>
      </c>
      <c r="M309" s="65">
        <f>IFERROR(VLOOKUP(F309,'5S'!$B$8:$E$19,4,0),0)</f>
        <v>1</v>
      </c>
      <c r="N309" s="65">
        <f>VLOOKUP(M309,'5S'!$G$8:$I$14,3,1)*VLOOKUP($M$2,'Kriter Ağırlık'!$A$1:$B$8,2,0)*E309*X309</f>
        <v>1.4222222222222221</v>
      </c>
      <c r="O309" s="1">
        <f>IFERROR(VLOOKUP(A309,Devamsızlıklar!A:K,10,0),0)</f>
        <v>0</v>
      </c>
      <c r="P309" s="40">
        <f>VLOOKUP(O309,Aralıklar!$A$2:$C$5,3,1)*VLOOKUP($O$2,'Kriter Ağırlık'!$A$1:$B$8,2,0)*E309*X309</f>
        <v>1.7777777777777777</v>
      </c>
      <c r="Q309" s="1">
        <f>IFERROR(VLOOKUP(A309,Devamsızlıklar!A:K,8,0),0)</f>
        <v>0</v>
      </c>
      <c r="R309" s="33">
        <f>VLOOKUP(Q309,Aralıklar!$E$2:$G$5,3,1)</f>
        <v>1</v>
      </c>
      <c r="S309" s="33">
        <f>IFERROR(VLOOKUP(A309,Devamsızlıklar!A:K,9,0),0)</f>
        <v>0</v>
      </c>
      <c r="T309" s="33">
        <f>VLOOKUP(S309,Aralıklar!$I$2:$K$6,3,1)</f>
        <v>50</v>
      </c>
      <c r="U309" s="33">
        <f>IFERROR(VLOOKUP(A309,Devamsızlıklar!A:K,11,0),0)</f>
        <v>1</v>
      </c>
      <c r="V309" s="33">
        <f>VLOOKUP(U309,Aralıklar!$M$2:$O$6,3,1)</f>
        <v>50</v>
      </c>
      <c r="W309" s="40">
        <f>IF(X309=0,0,(T309+V309)*R309*VLOOKUP($W$2,'Kriter Ağırlık'!$A$1:$B$8,2,1)*E309)</f>
        <v>1.8888888888888888</v>
      </c>
      <c r="X309" s="40">
        <f>IFERROR(VLOOKUP(A309,Devamsızlıklar!A:M,13,0),1)</f>
        <v>0.94117647058823528</v>
      </c>
      <c r="Y309" s="40">
        <f>(OEE!$K$6*VLOOKUP($Y$2,'Kriter Ağırlık'!$A$1:$B$8,2,1))*X309*E309</f>
        <v>6.2222222222222214</v>
      </c>
      <c r="Z309" s="40">
        <f>(TELEF!$I$10*VLOOKUP($Z$2,'Kriter Ağırlık'!$A$1:$B$8,2,1))*X309*E309</f>
        <v>2.6666666666666665</v>
      </c>
      <c r="AA309" s="40">
        <f t="shared" si="24"/>
        <v>13.977777777777776</v>
      </c>
      <c r="AB309" s="1">
        <v>5</v>
      </c>
      <c r="AC309" s="33">
        <f>VLOOKUP(AB309,'Kriter Ağırlık'!$A$12:$C$17,3,0)</f>
        <v>18.5</v>
      </c>
      <c r="AD309" s="76">
        <v>5</v>
      </c>
      <c r="AE309" s="33">
        <f>VLOOKUP(AD309,'Kriter Ağırlık'!$E$12:$G$24,3,0)</f>
        <v>1</v>
      </c>
      <c r="AF309" s="92">
        <f t="shared" si="25"/>
        <v>258.58888888888885</v>
      </c>
      <c r="AG309" t="str">
        <f>VLOOKUP(A309,'Çalışan Listesi'!A:G,6,0)</f>
        <v>OPERATÖR</v>
      </c>
    </row>
    <row r="310" spans="1:33" x14ac:dyDescent="0.2">
      <c r="A310" s="2">
        <v>5329</v>
      </c>
      <c r="B310" s="3" t="s">
        <v>359</v>
      </c>
      <c r="C310" s="4">
        <v>44634</v>
      </c>
      <c r="D310" s="5">
        <f t="shared" si="26"/>
        <v>17</v>
      </c>
      <c r="E310" s="6">
        <f t="shared" si="23"/>
        <v>0.18888888888888888</v>
      </c>
      <c r="F310" s="25" t="s">
        <v>426</v>
      </c>
      <c r="G310" s="3" t="s">
        <v>104</v>
      </c>
      <c r="H310" s="106" t="str">
        <f>VLOOKUP(A310,'Çalışan Listesi'!A:G,7,0)</f>
        <v>1.KADEME</v>
      </c>
      <c r="I310" s="65">
        <f>IFERROR(VLOOKUP(A310,'Kaizen Listesi'!A:H,8,0),0)</f>
        <v>0</v>
      </c>
      <c r="J310" s="65">
        <f>I310*VLOOKUP($I$2,'Kriter Ağırlık'!$A$1:$B$8,2,0)</f>
        <v>0</v>
      </c>
      <c r="K310" s="65">
        <f>IFERROR(VLOOKUP(A310,'Hata Kartı '!A:H,8,0),0)</f>
        <v>0</v>
      </c>
      <c r="L310" s="65">
        <f>K310*(VLOOKUP($K$2,'Kriter Ağırlık'!$A$1:$B$8,2,0))</f>
        <v>0</v>
      </c>
      <c r="M310" s="65">
        <f>IFERROR(VLOOKUP(F310,'5S'!$B$8:$E$19,4,0),0)</f>
        <v>1</v>
      </c>
      <c r="N310" s="65">
        <f>VLOOKUP(M310,'5S'!$G$8:$I$14,3,1)*VLOOKUP($M$2,'Kriter Ağırlık'!$A$1:$B$8,2,0)*E310*X310</f>
        <v>1.5111111111111111</v>
      </c>
      <c r="O310" s="1">
        <f>IFERROR(VLOOKUP(A310,Devamsızlıklar!A:K,10,0),0)</f>
        <v>0</v>
      </c>
      <c r="P310" s="40">
        <f>VLOOKUP(O310,Aralıklar!$A$2:$C$5,3,1)*VLOOKUP($O$2,'Kriter Ağırlık'!$A$1:$B$8,2,0)*E310*X310</f>
        <v>1.8888888888888888</v>
      </c>
      <c r="Q310" s="1">
        <f>IFERROR(VLOOKUP(A310,Devamsızlıklar!A:K,8,0),0)</f>
        <v>0</v>
      </c>
      <c r="R310" s="33">
        <f>VLOOKUP(Q310,Aralıklar!$E$2:$G$5,3,1)</f>
        <v>1</v>
      </c>
      <c r="S310" s="33">
        <f>IFERROR(VLOOKUP(A310,Devamsızlıklar!A:K,9,0),0)</f>
        <v>0</v>
      </c>
      <c r="T310" s="33">
        <f>VLOOKUP(S310,Aralıklar!$I$2:$K$6,3,1)</f>
        <v>50</v>
      </c>
      <c r="U310" s="33">
        <f>IFERROR(VLOOKUP(A310,Devamsızlıklar!A:K,11,0),0)</f>
        <v>0</v>
      </c>
      <c r="V310" s="33">
        <f>VLOOKUP(U310,Aralıklar!$M$2:$O$6,3,1)</f>
        <v>50</v>
      </c>
      <c r="W310" s="40">
        <f>IF(X310=0,0,(T310+V310)*R310*VLOOKUP($W$2,'Kriter Ağırlık'!$A$1:$B$8,2,1)*E310)</f>
        <v>1.8888888888888888</v>
      </c>
      <c r="X310" s="40">
        <f>IFERROR(VLOOKUP(A310,Devamsızlıklar!A:M,13,0),1)</f>
        <v>1</v>
      </c>
      <c r="Y310" s="40">
        <f>(OEE!$K$6*VLOOKUP($Y$2,'Kriter Ağırlık'!$A$1:$B$8,2,1))*X310*E310</f>
        <v>6.6111111111111107</v>
      </c>
      <c r="Z310" s="40">
        <f>(TELEF!$I$10*VLOOKUP($Z$2,'Kriter Ağırlık'!$A$1:$B$8,2,1))*X310*E310</f>
        <v>2.833333333333333</v>
      </c>
      <c r="AA310" s="40">
        <f t="shared" si="24"/>
        <v>14.733333333333331</v>
      </c>
      <c r="AB310" s="1">
        <v>5</v>
      </c>
      <c r="AC310" s="33">
        <f>VLOOKUP(AB310,'Kriter Ağırlık'!$A$12:$C$17,3,0)</f>
        <v>18.5</v>
      </c>
      <c r="AD310" s="1">
        <v>5</v>
      </c>
      <c r="AE310" s="33">
        <f>VLOOKUP(AD310,'Kriter Ağırlık'!$E$12:$G$24,3,0)</f>
        <v>1</v>
      </c>
      <c r="AF310" s="92">
        <f t="shared" si="25"/>
        <v>272.56666666666661</v>
      </c>
      <c r="AG310" t="str">
        <f>VLOOKUP(A310,'Çalışan Listesi'!A:G,6,0)</f>
        <v>OPERATÖR</v>
      </c>
    </row>
    <row r="311" spans="1:33" x14ac:dyDescent="0.2">
      <c r="A311" s="2">
        <v>5330</v>
      </c>
      <c r="B311" s="3" t="s">
        <v>360</v>
      </c>
      <c r="C311" s="4">
        <v>44634</v>
      </c>
      <c r="D311" s="5">
        <f t="shared" si="26"/>
        <v>17</v>
      </c>
      <c r="E311" s="6">
        <f t="shared" si="23"/>
        <v>0.18888888888888888</v>
      </c>
      <c r="F311" s="25" t="s">
        <v>421</v>
      </c>
      <c r="G311" s="3" t="s">
        <v>10</v>
      </c>
      <c r="H311" s="106" t="str">
        <f>VLOOKUP(A311,'Çalışan Listesi'!A:G,7,0)</f>
        <v>1.KADEME</v>
      </c>
      <c r="I311" s="65">
        <f>IFERROR(VLOOKUP(A311,'Kaizen Listesi'!A:H,8,0),0)</f>
        <v>0</v>
      </c>
      <c r="J311" s="65">
        <f>I311*VLOOKUP($I$2,'Kriter Ağırlık'!$A$1:$B$8,2,0)</f>
        <v>0</v>
      </c>
      <c r="K311" s="65">
        <f>IFERROR(VLOOKUP(A311,'Hata Kartı '!A:H,8,0),0)</f>
        <v>0</v>
      </c>
      <c r="L311" s="65">
        <f>K311*(VLOOKUP($K$2,'Kriter Ağırlık'!$A$1:$B$8,2,0))</f>
        <v>0</v>
      </c>
      <c r="M311" s="65">
        <f>IFERROR(VLOOKUP(F311,'5S'!$B$8:$E$19,4,0),0)</f>
        <v>1</v>
      </c>
      <c r="N311" s="65">
        <f>VLOOKUP(M311,'5S'!$G$8:$I$14,3,1)*VLOOKUP($M$2,'Kriter Ağırlık'!$A$1:$B$8,2,0)*E311*X311</f>
        <v>1.5111111111111111</v>
      </c>
      <c r="O311" s="1">
        <f>IFERROR(VLOOKUP(A311,Devamsızlıklar!A:K,10,0),0)</f>
        <v>0</v>
      </c>
      <c r="P311" s="40">
        <f>VLOOKUP(O311,Aralıklar!$A$2:$C$5,3,1)*VLOOKUP($O$2,'Kriter Ağırlık'!$A$1:$B$8,2,0)*E311*X311</f>
        <v>1.8888888888888888</v>
      </c>
      <c r="Q311" s="1">
        <f>IFERROR(VLOOKUP(A311,Devamsızlıklar!A:K,8,0),0)</f>
        <v>0</v>
      </c>
      <c r="R311" s="33">
        <f>VLOOKUP(Q311,Aralıklar!$E$2:$G$5,3,1)</f>
        <v>1</v>
      </c>
      <c r="S311" s="33">
        <f>IFERROR(VLOOKUP(A311,Devamsızlıklar!A:K,9,0),0)</f>
        <v>0</v>
      </c>
      <c r="T311" s="33">
        <f>VLOOKUP(S311,Aralıklar!$I$2:$K$6,3,1)</f>
        <v>50</v>
      </c>
      <c r="U311" s="33">
        <f>IFERROR(VLOOKUP(A311,Devamsızlıklar!A:K,11,0),0)</f>
        <v>0</v>
      </c>
      <c r="V311" s="33">
        <f>VLOOKUP(U311,Aralıklar!$M$2:$O$6,3,1)</f>
        <v>50</v>
      </c>
      <c r="W311" s="40">
        <f>IF(X311=0,0,(T311+V311)*R311*VLOOKUP($W$2,'Kriter Ağırlık'!$A$1:$B$8,2,1)*E311)</f>
        <v>1.8888888888888888</v>
      </c>
      <c r="X311" s="40">
        <f>IFERROR(VLOOKUP(A311,Devamsızlıklar!A:M,13,0),1)</f>
        <v>1</v>
      </c>
      <c r="Y311" s="40">
        <f>(OEE!$K$6*VLOOKUP($Y$2,'Kriter Ağırlık'!$A$1:$B$8,2,1))*X311*E311</f>
        <v>6.6111111111111107</v>
      </c>
      <c r="Z311" s="40">
        <f>(TELEF!$I$10*VLOOKUP($Z$2,'Kriter Ağırlık'!$A$1:$B$8,2,1))*X311*E311</f>
        <v>2.833333333333333</v>
      </c>
      <c r="AA311" s="40">
        <f t="shared" si="24"/>
        <v>14.733333333333331</v>
      </c>
      <c r="AB311" s="1">
        <v>5</v>
      </c>
      <c r="AC311" s="33">
        <f>VLOOKUP(AB311,'Kriter Ağırlık'!$A$12:$C$17,3,0)</f>
        <v>18.5</v>
      </c>
      <c r="AD311" s="1">
        <v>5</v>
      </c>
      <c r="AE311" s="33">
        <f>VLOOKUP(AD311,'Kriter Ağırlık'!$E$12:$G$24,3,0)</f>
        <v>1</v>
      </c>
      <c r="AF311" s="92">
        <f t="shared" si="25"/>
        <v>272.56666666666661</v>
      </c>
      <c r="AG311" t="str">
        <f>VLOOKUP(A311,'Çalışan Listesi'!A:G,6,0)</f>
        <v>OPERATÖR</v>
      </c>
    </row>
    <row r="312" spans="1:33" x14ac:dyDescent="0.2">
      <c r="A312" s="2">
        <v>5333</v>
      </c>
      <c r="B312" s="3" t="s">
        <v>361</v>
      </c>
      <c r="C312" s="4">
        <v>44641</v>
      </c>
      <c r="D312" s="5">
        <f t="shared" si="26"/>
        <v>10</v>
      </c>
      <c r="E312" s="6">
        <f t="shared" si="23"/>
        <v>0.1111111111111111</v>
      </c>
      <c r="F312" s="25" t="s">
        <v>422</v>
      </c>
      <c r="G312" s="3" t="s">
        <v>54</v>
      </c>
      <c r="H312" s="106" t="str">
        <f>VLOOKUP(A312,'Çalışan Listesi'!A:G,7,0)</f>
        <v>1.KADEME</v>
      </c>
      <c r="I312" s="65">
        <f>IFERROR(VLOOKUP(A312,'Kaizen Listesi'!A:H,8,0),0)</f>
        <v>0</v>
      </c>
      <c r="J312" s="65">
        <f>I312*VLOOKUP($I$2,'Kriter Ağırlık'!$A$1:$B$8,2,0)</f>
        <v>0</v>
      </c>
      <c r="K312" s="65">
        <f>IFERROR(VLOOKUP(A312,'Hata Kartı '!A:H,8,0),0)</f>
        <v>0</v>
      </c>
      <c r="L312" s="65">
        <f>K312*(VLOOKUP($K$2,'Kriter Ağırlık'!$A$1:$B$8,2,0))</f>
        <v>0</v>
      </c>
      <c r="M312" s="65">
        <f>IFERROR(VLOOKUP(F312,'5S'!$B$8:$E$19,4,0),0)</f>
        <v>1</v>
      </c>
      <c r="N312" s="65">
        <f>VLOOKUP(M312,'5S'!$G$8:$I$14,3,1)*VLOOKUP($M$2,'Kriter Ağırlık'!$A$1:$B$8,2,0)*E312*X312</f>
        <v>0.88888888888888884</v>
      </c>
      <c r="O312" s="1">
        <f>IFERROR(VLOOKUP(A312,Devamsızlıklar!A:K,10,0),0)</f>
        <v>0</v>
      </c>
      <c r="P312" s="40">
        <f>VLOOKUP(O312,Aralıklar!$A$2:$C$5,3,1)*VLOOKUP($O$2,'Kriter Ağırlık'!$A$1:$B$8,2,0)*E312*X312</f>
        <v>1.1111111111111112</v>
      </c>
      <c r="Q312" s="1">
        <f>IFERROR(VLOOKUP(A312,Devamsızlıklar!A:K,8,0),0)</f>
        <v>0</v>
      </c>
      <c r="R312" s="33">
        <f>VLOOKUP(Q312,Aralıklar!$E$2:$G$5,3,1)</f>
        <v>1</v>
      </c>
      <c r="S312" s="33">
        <f>IFERROR(VLOOKUP(A312,Devamsızlıklar!A:K,9,0),0)</f>
        <v>0</v>
      </c>
      <c r="T312" s="33">
        <f>VLOOKUP(S312,Aralıklar!$I$2:$K$6,3,1)</f>
        <v>50</v>
      </c>
      <c r="U312" s="33">
        <f>IFERROR(VLOOKUP(A312,Devamsızlıklar!A:K,11,0),0)</f>
        <v>0</v>
      </c>
      <c r="V312" s="33">
        <f>VLOOKUP(U312,Aralıklar!$M$2:$O$6,3,1)</f>
        <v>50</v>
      </c>
      <c r="W312" s="40">
        <f>IF(X312=0,0,(T312+V312)*R312*VLOOKUP($W$2,'Kriter Ağırlık'!$A$1:$B$8,2,1)*E312)</f>
        <v>1.1111111111111112</v>
      </c>
      <c r="X312" s="40">
        <f>IFERROR(VLOOKUP(A312,Devamsızlıklar!A:M,13,0),1)</f>
        <v>1</v>
      </c>
      <c r="Y312" s="40">
        <f>(OEE!$K$6*VLOOKUP($Y$2,'Kriter Ağırlık'!$A$1:$B$8,2,1))*X312*E312</f>
        <v>3.8888888888888888</v>
      </c>
      <c r="Z312" s="40">
        <f>(TELEF!$I$10*VLOOKUP($Z$2,'Kriter Ağırlık'!$A$1:$B$8,2,1))*X312*E312</f>
        <v>1.6666666666666665</v>
      </c>
      <c r="AA312" s="40">
        <f t="shared" si="24"/>
        <v>8.6666666666666661</v>
      </c>
      <c r="AB312" s="1">
        <v>5</v>
      </c>
      <c r="AC312" s="33">
        <f>VLOOKUP(AB312,'Kriter Ağırlık'!$A$12:$C$17,3,0)</f>
        <v>18.5</v>
      </c>
      <c r="AD312" s="76">
        <v>5</v>
      </c>
      <c r="AE312" s="33">
        <f>VLOOKUP(AD312,'Kriter Ağırlık'!$E$12:$G$24,3,0)</f>
        <v>1</v>
      </c>
      <c r="AF312" s="92">
        <f t="shared" si="25"/>
        <v>160.33333333333331</v>
      </c>
      <c r="AG312" t="str">
        <f>VLOOKUP(A312,'Çalışan Listesi'!A:G,6,0)</f>
        <v>OPERATÖR</v>
      </c>
    </row>
    <row r="313" spans="1:33" x14ac:dyDescent="0.2">
      <c r="A313" s="2">
        <v>5334</v>
      </c>
      <c r="B313" s="3" t="s">
        <v>362</v>
      </c>
      <c r="C313" s="4">
        <v>44641</v>
      </c>
      <c r="D313" s="5">
        <f t="shared" si="26"/>
        <v>10</v>
      </c>
      <c r="E313" s="6">
        <f t="shared" si="23"/>
        <v>0.1111111111111111</v>
      </c>
      <c r="F313" s="25" t="s">
        <v>429</v>
      </c>
      <c r="G313" s="3" t="s">
        <v>46</v>
      </c>
      <c r="H313" s="106" t="str">
        <f>VLOOKUP(A313,'Çalışan Listesi'!A:G,7,0)</f>
        <v>1.KADEME</v>
      </c>
      <c r="I313" s="65">
        <f>IFERROR(VLOOKUP(A313,'Kaizen Listesi'!A:H,8,0),0)</f>
        <v>0</v>
      </c>
      <c r="J313" s="65">
        <f>I313*VLOOKUP($I$2,'Kriter Ağırlık'!$A$1:$B$8,2,0)</f>
        <v>0</v>
      </c>
      <c r="K313" s="65">
        <f>IFERROR(VLOOKUP(A313,'Hata Kartı '!A:H,8,0),0)</f>
        <v>0</v>
      </c>
      <c r="L313" s="65">
        <f>K313*(VLOOKUP($K$2,'Kriter Ağırlık'!$A$1:$B$8,2,0))</f>
        <v>0</v>
      </c>
      <c r="M313" s="65">
        <f>IFERROR(VLOOKUP(F313,'5S'!$B$8:$E$19,4,0),0)</f>
        <v>1</v>
      </c>
      <c r="N313" s="65">
        <f>VLOOKUP(M313,'5S'!$G$8:$I$14,3,1)*VLOOKUP($M$2,'Kriter Ağırlık'!$A$1:$B$8,2,0)*E313*X313</f>
        <v>0.88888888888888884</v>
      </c>
      <c r="O313" s="1">
        <f>IFERROR(VLOOKUP(A313,Devamsızlıklar!A:K,10,0),0)</f>
        <v>0</v>
      </c>
      <c r="P313" s="40">
        <f>VLOOKUP(O313,Aralıklar!$A$2:$C$5,3,1)*VLOOKUP($O$2,'Kriter Ağırlık'!$A$1:$B$8,2,0)*E313*X313</f>
        <v>1.1111111111111112</v>
      </c>
      <c r="Q313" s="1">
        <f>IFERROR(VLOOKUP(A313,Devamsızlıklar!A:K,8,0),0)</f>
        <v>0</v>
      </c>
      <c r="R313" s="33">
        <f>VLOOKUP(Q313,Aralıklar!$E$2:$G$5,3,1)</f>
        <v>1</v>
      </c>
      <c r="S313" s="33">
        <f>IFERROR(VLOOKUP(A313,Devamsızlıklar!A:K,9,0),0)</f>
        <v>0</v>
      </c>
      <c r="T313" s="33">
        <f>VLOOKUP(S313,Aralıklar!$I$2:$K$6,3,1)</f>
        <v>50</v>
      </c>
      <c r="U313" s="33">
        <f>IFERROR(VLOOKUP(A313,Devamsızlıklar!A:K,11,0),0)</f>
        <v>0</v>
      </c>
      <c r="V313" s="33">
        <f>VLOOKUP(U313,Aralıklar!$M$2:$O$6,3,1)</f>
        <v>50</v>
      </c>
      <c r="W313" s="40">
        <f>IF(X313=0,0,(T313+V313)*R313*VLOOKUP($W$2,'Kriter Ağırlık'!$A$1:$B$8,2,1)*E313)</f>
        <v>1.1111111111111112</v>
      </c>
      <c r="X313" s="40">
        <f>IFERROR(VLOOKUP(A313,Devamsızlıklar!A:M,13,0),1)</f>
        <v>1</v>
      </c>
      <c r="Y313" s="40">
        <f>(OEE!$K$6*VLOOKUP($Y$2,'Kriter Ağırlık'!$A$1:$B$8,2,1))*X313*E313</f>
        <v>3.8888888888888888</v>
      </c>
      <c r="Z313" s="40">
        <f>(TELEF!$I$10*VLOOKUP($Z$2,'Kriter Ağırlık'!$A$1:$B$8,2,1))*X313*E313</f>
        <v>1.6666666666666665</v>
      </c>
      <c r="AA313" s="40">
        <f t="shared" si="24"/>
        <v>8.6666666666666661</v>
      </c>
      <c r="AB313" s="1">
        <v>5</v>
      </c>
      <c r="AC313" s="33">
        <f>VLOOKUP(AB313,'Kriter Ağırlık'!$A$12:$C$17,3,0)</f>
        <v>18.5</v>
      </c>
      <c r="AD313" s="1">
        <v>5</v>
      </c>
      <c r="AE313" s="33">
        <f>VLOOKUP(AD313,'Kriter Ağırlık'!$E$12:$G$24,3,0)</f>
        <v>1</v>
      </c>
      <c r="AF313" s="92">
        <f t="shared" si="25"/>
        <v>160.33333333333331</v>
      </c>
      <c r="AG313" t="str">
        <f>VLOOKUP(A313,'Çalışan Listesi'!A:G,6,0)</f>
        <v>OPERATÖR</v>
      </c>
    </row>
    <row r="314" spans="1:33" x14ac:dyDescent="0.2">
      <c r="A314" s="2">
        <v>5335</v>
      </c>
      <c r="B314" s="3" t="s">
        <v>363</v>
      </c>
      <c r="C314" s="4">
        <v>44641</v>
      </c>
      <c r="D314" s="5">
        <f t="shared" si="26"/>
        <v>10</v>
      </c>
      <c r="E314" s="6">
        <f t="shared" si="23"/>
        <v>0.1111111111111111</v>
      </c>
      <c r="F314" s="25" t="s">
        <v>421</v>
      </c>
      <c r="G314" s="3" t="s">
        <v>10</v>
      </c>
      <c r="H314" s="106" t="str">
        <f>VLOOKUP(A314,'Çalışan Listesi'!A:G,7,0)</f>
        <v>1.KADEME</v>
      </c>
      <c r="I314" s="65">
        <f>IFERROR(VLOOKUP(A314,'Kaizen Listesi'!A:H,8,0),0)</f>
        <v>0</v>
      </c>
      <c r="J314" s="65">
        <f>I314*VLOOKUP($I$2,'Kriter Ağırlık'!$A$1:$B$8,2,0)</f>
        <v>0</v>
      </c>
      <c r="K314" s="65">
        <f>IFERROR(VLOOKUP(A314,'Hata Kartı '!A:H,8,0),0)</f>
        <v>0</v>
      </c>
      <c r="L314" s="65">
        <f>K314*(VLOOKUP($K$2,'Kriter Ağırlık'!$A$1:$B$8,2,0))</f>
        <v>0</v>
      </c>
      <c r="M314" s="65">
        <f>IFERROR(VLOOKUP(F314,'5S'!$B$8:$E$19,4,0),0)</f>
        <v>1</v>
      </c>
      <c r="N314" s="65">
        <f>VLOOKUP(M314,'5S'!$G$8:$I$14,3,1)*VLOOKUP($M$2,'Kriter Ağırlık'!$A$1:$B$8,2,0)*E314*X314</f>
        <v>0.88888888888888884</v>
      </c>
      <c r="O314" s="1">
        <f>IFERROR(VLOOKUP(A314,Devamsızlıklar!A:K,10,0),0)</f>
        <v>0</v>
      </c>
      <c r="P314" s="40">
        <f>VLOOKUP(O314,Aralıklar!$A$2:$C$5,3,1)*VLOOKUP($O$2,'Kriter Ağırlık'!$A$1:$B$8,2,0)*E314*X314</f>
        <v>1.1111111111111112</v>
      </c>
      <c r="Q314" s="1">
        <f>IFERROR(VLOOKUP(A314,Devamsızlıklar!A:K,8,0),0)</f>
        <v>0</v>
      </c>
      <c r="R314" s="33">
        <f>VLOOKUP(Q314,Aralıklar!$E$2:$G$5,3,1)</f>
        <v>1</v>
      </c>
      <c r="S314" s="33">
        <f>IFERROR(VLOOKUP(A314,Devamsızlıklar!A:K,9,0),0)</f>
        <v>0</v>
      </c>
      <c r="T314" s="33">
        <f>VLOOKUP(S314,Aralıklar!$I$2:$K$6,3,1)</f>
        <v>50</v>
      </c>
      <c r="U314" s="33">
        <f>IFERROR(VLOOKUP(A314,Devamsızlıklar!A:K,11,0),0)</f>
        <v>0</v>
      </c>
      <c r="V314" s="33">
        <f>VLOOKUP(U314,Aralıklar!$M$2:$O$6,3,1)</f>
        <v>50</v>
      </c>
      <c r="W314" s="40">
        <f>IF(X314=0,0,(T314+V314)*R314*VLOOKUP($W$2,'Kriter Ağırlık'!$A$1:$B$8,2,1)*E314)</f>
        <v>1.1111111111111112</v>
      </c>
      <c r="X314" s="40">
        <f>IFERROR(VLOOKUP(A314,Devamsızlıklar!A:M,13,0),1)</f>
        <v>1</v>
      </c>
      <c r="Y314" s="40">
        <f>(OEE!$K$6*VLOOKUP($Y$2,'Kriter Ağırlık'!$A$1:$B$8,2,1))*X314*E314</f>
        <v>3.8888888888888888</v>
      </c>
      <c r="Z314" s="40">
        <f>(TELEF!$I$10*VLOOKUP($Z$2,'Kriter Ağırlık'!$A$1:$B$8,2,1))*X314*E314</f>
        <v>1.6666666666666665</v>
      </c>
      <c r="AA314" s="40">
        <f t="shared" si="24"/>
        <v>8.6666666666666661</v>
      </c>
      <c r="AB314" s="1">
        <v>5</v>
      </c>
      <c r="AC314" s="33">
        <f>VLOOKUP(AB314,'Kriter Ağırlık'!$A$12:$C$17,3,0)</f>
        <v>18.5</v>
      </c>
      <c r="AD314" s="1">
        <v>5</v>
      </c>
      <c r="AE314" s="33">
        <f>VLOOKUP(AD314,'Kriter Ağırlık'!$E$12:$G$24,3,0)</f>
        <v>1</v>
      </c>
      <c r="AF314" s="92">
        <f t="shared" si="25"/>
        <v>160.33333333333331</v>
      </c>
      <c r="AG314" t="str">
        <f>VLOOKUP(A314,'Çalışan Listesi'!A:G,6,0)</f>
        <v>OPERATÖR</v>
      </c>
    </row>
    <row r="315" spans="1:33" x14ac:dyDescent="0.2">
      <c r="A315" s="2">
        <v>5336</v>
      </c>
      <c r="B315" s="3" t="s">
        <v>364</v>
      </c>
      <c r="C315" s="4">
        <v>44641</v>
      </c>
      <c r="D315" s="5">
        <f t="shared" ref="D315:D319" si="27">IF($AI$2-C315&gt;=90,90,$AI$2-C315)</f>
        <v>10</v>
      </c>
      <c r="E315" s="6">
        <f t="shared" si="23"/>
        <v>0.1111111111111111</v>
      </c>
      <c r="F315" s="25" t="s">
        <v>421</v>
      </c>
      <c r="G315" s="3" t="s">
        <v>10</v>
      </c>
      <c r="H315" s="106" t="str">
        <f>VLOOKUP(A315,'Çalışan Listesi'!A:G,7,0)</f>
        <v>1.KADEME</v>
      </c>
      <c r="I315" s="65">
        <f>IFERROR(VLOOKUP(A315,'Kaizen Listesi'!A:H,8,0),0)</f>
        <v>0</v>
      </c>
      <c r="J315" s="65">
        <f>I315*VLOOKUP($I$2,'Kriter Ağırlık'!$A$1:$B$8,2,0)</f>
        <v>0</v>
      </c>
      <c r="K315" s="65">
        <f>IFERROR(VLOOKUP(A315,'Hata Kartı '!A:H,8,0),0)</f>
        <v>0</v>
      </c>
      <c r="L315" s="65">
        <f>K315*(VLOOKUP($K$2,'Kriter Ağırlık'!$A$1:$B$8,2,0))</f>
        <v>0</v>
      </c>
      <c r="M315" s="65">
        <f>IFERROR(VLOOKUP(F315,'5S'!$B$8:$E$19,4,0),0)</f>
        <v>1</v>
      </c>
      <c r="N315" s="65">
        <f>VLOOKUP(M315,'5S'!$G$8:$I$14,3,1)*VLOOKUP($M$2,'Kriter Ağırlık'!$A$1:$B$8,2,0)*E315*X315</f>
        <v>0.88888888888888884</v>
      </c>
      <c r="O315" s="1">
        <f>IFERROR(VLOOKUP(A315,Devamsızlıklar!A:K,10,0),0)</f>
        <v>0</v>
      </c>
      <c r="P315" s="40">
        <f>VLOOKUP(O315,Aralıklar!$A$2:$C$5,3,1)*VLOOKUP($O$2,'Kriter Ağırlık'!$A$1:$B$8,2,0)*E315*X315</f>
        <v>1.1111111111111112</v>
      </c>
      <c r="Q315" s="1">
        <f>IFERROR(VLOOKUP(A315,Devamsızlıklar!A:K,8,0),0)</f>
        <v>0</v>
      </c>
      <c r="R315" s="33">
        <f>VLOOKUP(Q315,Aralıklar!$E$2:$G$5,3,1)</f>
        <v>1</v>
      </c>
      <c r="S315" s="33">
        <f>IFERROR(VLOOKUP(A315,Devamsızlıklar!A:K,9,0),0)</f>
        <v>0</v>
      </c>
      <c r="T315" s="33">
        <f>VLOOKUP(S315,Aralıklar!$I$2:$K$6,3,1)</f>
        <v>50</v>
      </c>
      <c r="U315" s="33">
        <f>IFERROR(VLOOKUP(A315,Devamsızlıklar!A:K,11,0),0)</f>
        <v>0</v>
      </c>
      <c r="V315" s="33">
        <f>VLOOKUP(U315,Aralıklar!$M$2:$O$6,3,1)</f>
        <v>50</v>
      </c>
      <c r="W315" s="40">
        <f>IF(X315=0,0,(T315+V315)*R315*VLOOKUP($W$2,'Kriter Ağırlık'!$A$1:$B$8,2,1)*E315)</f>
        <v>1.1111111111111112</v>
      </c>
      <c r="X315" s="40">
        <f>IFERROR(VLOOKUP(A315,Devamsızlıklar!A:M,13,0),1)</f>
        <v>1</v>
      </c>
      <c r="Y315" s="40">
        <f>(OEE!$K$6*VLOOKUP($Y$2,'Kriter Ağırlık'!$A$1:$B$8,2,1))*X315*E315</f>
        <v>3.8888888888888888</v>
      </c>
      <c r="Z315" s="40">
        <f>(TELEF!$I$10*VLOOKUP($Z$2,'Kriter Ağırlık'!$A$1:$B$8,2,1))*X315*E315</f>
        <v>1.6666666666666665</v>
      </c>
      <c r="AA315" s="40">
        <f t="shared" si="24"/>
        <v>8.6666666666666661</v>
      </c>
      <c r="AB315" s="1">
        <v>5</v>
      </c>
      <c r="AC315" s="33">
        <f>VLOOKUP(AB315,'Kriter Ağırlık'!$A$12:$C$17,3,0)</f>
        <v>18.5</v>
      </c>
      <c r="AD315" s="76">
        <v>5</v>
      </c>
      <c r="AE315" s="33">
        <f>VLOOKUP(AD315,'Kriter Ağırlık'!$E$12:$G$24,3,0)</f>
        <v>1</v>
      </c>
      <c r="AF315" s="92">
        <f t="shared" si="25"/>
        <v>160.33333333333331</v>
      </c>
      <c r="AG315" t="str">
        <f>VLOOKUP(A315,'Çalışan Listesi'!A:G,6,0)</f>
        <v>OPERATÖR</v>
      </c>
    </row>
    <row r="316" spans="1:33" x14ac:dyDescent="0.2">
      <c r="A316" s="2">
        <v>5337</v>
      </c>
      <c r="B316" s="3" t="s">
        <v>365</v>
      </c>
      <c r="C316" s="4">
        <v>44641</v>
      </c>
      <c r="D316" s="5">
        <f t="shared" si="27"/>
        <v>10</v>
      </c>
      <c r="E316" s="6">
        <f t="shared" si="23"/>
        <v>0.1111111111111111</v>
      </c>
      <c r="F316" s="25" t="s">
        <v>421</v>
      </c>
      <c r="G316" s="3" t="s">
        <v>10</v>
      </c>
      <c r="H316" s="106" t="str">
        <f>VLOOKUP(A316,'Çalışan Listesi'!A:G,7,0)</f>
        <v>1.KADEME</v>
      </c>
      <c r="I316" s="65">
        <f>IFERROR(VLOOKUP(A316,'Kaizen Listesi'!A:H,8,0),0)</f>
        <v>0</v>
      </c>
      <c r="J316" s="65">
        <f>I316*VLOOKUP($I$2,'Kriter Ağırlık'!$A$1:$B$8,2,0)</f>
        <v>0</v>
      </c>
      <c r="K316" s="65">
        <f>IFERROR(VLOOKUP(A316,'Hata Kartı '!A:H,8,0),0)</f>
        <v>0</v>
      </c>
      <c r="L316" s="65">
        <f>K316*(VLOOKUP($K$2,'Kriter Ağırlık'!$A$1:$B$8,2,0))</f>
        <v>0</v>
      </c>
      <c r="M316" s="65">
        <f>IFERROR(VLOOKUP(F316,'5S'!$B$8:$E$19,4,0),0)</f>
        <v>1</v>
      </c>
      <c r="N316" s="65">
        <f>VLOOKUP(M316,'5S'!$G$8:$I$14,3,1)*VLOOKUP($M$2,'Kriter Ağırlık'!$A$1:$B$8,2,0)*E316*X316</f>
        <v>0.88888888888888884</v>
      </c>
      <c r="O316" s="1">
        <f>IFERROR(VLOOKUP(A316,Devamsızlıklar!A:K,10,0),0)</f>
        <v>0</v>
      </c>
      <c r="P316" s="40">
        <f>VLOOKUP(O316,Aralıklar!$A$2:$C$5,3,1)*VLOOKUP($O$2,'Kriter Ağırlık'!$A$1:$B$8,2,0)*E316*X316</f>
        <v>1.1111111111111112</v>
      </c>
      <c r="Q316" s="1">
        <f>IFERROR(VLOOKUP(A316,Devamsızlıklar!A:K,8,0),0)</f>
        <v>0</v>
      </c>
      <c r="R316" s="33">
        <f>VLOOKUP(Q316,Aralıklar!$E$2:$G$5,3,1)</f>
        <v>1</v>
      </c>
      <c r="S316" s="33">
        <f>IFERROR(VLOOKUP(A316,Devamsızlıklar!A:K,9,0),0)</f>
        <v>0</v>
      </c>
      <c r="T316" s="33">
        <f>VLOOKUP(S316,Aralıklar!$I$2:$K$6,3,1)</f>
        <v>50</v>
      </c>
      <c r="U316" s="33">
        <f>IFERROR(VLOOKUP(A316,Devamsızlıklar!A:K,11,0),0)</f>
        <v>0</v>
      </c>
      <c r="V316" s="33">
        <f>VLOOKUP(U316,Aralıklar!$M$2:$O$6,3,1)</f>
        <v>50</v>
      </c>
      <c r="W316" s="40">
        <f>IF(X316=0,0,(T316+V316)*R316*VLOOKUP($W$2,'Kriter Ağırlık'!$A$1:$B$8,2,1)*E316)</f>
        <v>1.1111111111111112</v>
      </c>
      <c r="X316" s="40">
        <f>IFERROR(VLOOKUP(A316,Devamsızlıklar!A:M,13,0),1)</f>
        <v>1</v>
      </c>
      <c r="Y316" s="40">
        <f>(OEE!$K$6*VLOOKUP($Y$2,'Kriter Ağırlık'!$A$1:$B$8,2,1))*X316*E316</f>
        <v>3.8888888888888888</v>
      </c>
      <c r="Z316" s="40">
        <f>(TELEF!$I$10*VLOOKUP($Z$2,'Kriter Ağırlık'!$A$1:$B$8,2,1))*X316*E316</f>
        <v>1.6666666666666665</v>
      </c>
      <c r="AA316" s="40">
        <f t="shared" si="24"/>
        <v>8.6666666666666661</v>
      </c>
      <c r="AB316" s="1">
        <v>5</v>
      </c>
      <c r="AC316" s="33">
        <f>VLOOKUP(AB316,'Kriter Ağırlık'!$A$12:$C$17,3,0)</f>
        <v>18.5</v>
      </c>
      <c r="AD316" s="1">
        <v>5</v>
      </c>
      <c r="AE316" s="33">
        <f>VLOOKUP(AD316,'Kriter Ağırlık'!$E$12:$G$24,3,0)</f>
        <v>1</v>
      </c>
      <c r="AF316" s="92">
        <f t="shared" si="25"/>
        <v>160.33333333333331</v>
      </c>
      <c r="AG316" t="str">
        <f>VLOOKUP(A316,'Çalışan Listesi'!A:G,6,0)</f>
        <v>OPERATÖR</v>
      </c>
    </row>
    <row r="317" spans="1:33" x14ac:dyDescent="0.2">
      <c r="A317" s="2">
        <v>5338</v>
      </c>
      <c r="B317" s="3" t="s">
        <v>366</v>
      </c>
      <c r="C317" s="4">
        <v>44641</v>
      </c>
      <c r="D317" s="5">
        <f t="shared" si="27"/>
        <v>10</v>
      </c>
      <c r="E317" s="6">
        <f t="shared" si="23"/>
        <v>0.1111111111111111</v>
      </c>
      <c r="F317" s="25" t="s">
        <v>421</v>
      </c>
      <c r="G317" s="3" t="s">
        <v>61</v>
      </c>
      <c r="H317" s="106" t="str">
        <f>VLOOKUP(A317,'Çalışan Listesi'!A:G,7,0)</f>
        <v>1.KADEME</v>
      </c>
      <c r="I317" s="65">
        <f>IFERROR(VLOOKUP(A317,'Kaizen Listesi'!A:H,8,0),0)</f>
        <v>0</v>
      </c>
      <c r="J317" s="65">
        <f>I317*VLOOKUP($I$2,'Kriter Ağırlık'!$A$1:$B$8,2,0)</f>
        <v>0</v>
      </c>
      <c r="K317" s="65">
        <f>IFERROR(VLOOKUP(A317,'Hata Kartı '!A:H,8,0),0)</f>
        <v>0</v>
      </c>
      <c r="L317" s="65">
        <f>K317*(VLOOKUP($K$2,'Kriter Ağırlık'!$A$1:$B$8,2,0))</f>
        <v>0</v>
      </c>
      <c r="M317" s="65">
        <f>IFERROR(VLOOKUP(F317,'5S'!$B$8:$E$19,4,0),0)</f>
        <v>1</v>
      </c>
      <c r="N317" s="65">
        <f>VLOOKUP(M317,'5S'!$G$8:$I$14,3,1)*VLOOKUP($M$2,'Kriter Ağırlık'!$A$1:$B$8,2,0)*E317*X317</f>
        <v>0.88888888888888884</v>
      </c>
      <c r="O317" s="1">
        <f>IFERROR(VLOOKUP(A317,Devamsızlıklar!A:K,10,0),0)</f>
        <v>0</v>
      </c>
      <c r="P317" s="40">
        <f>VLOOKUP(O317,Aralıklar!$A$2:$C$5,3,1)*VLOOKUP($O$2,'Kriter Ağırlık'!$A$1:$B$8,2,0)*E317*X317</f>
        <v>1.1111111111111112</v>
      </c>
      <c r="Q317" s="1">
        <f>IFERROR(VLOOKUP(A317,Devamsızlıklar!A:K,8,0),0)</f>
        <v>0</v>
      </c>
      <c r="R317" s="33">
        <f>VLOOKUP(Q317,Aralıklar!$E$2:$G$5,3,1)</f>
        <v>1</v>
      </c>
      <c r="S317" s="33">
        <f>IFERROR(VLOOKUP(A317,Devamsızlıklar!A:K,9,0),0)</f>
        <v>0</v>
      </c>
      <c r="T317" s="33">
        <f>VLOOKUP(S317,Aralıklar!$I$2:$K$6,3,1)</f>
        <v>50</v>
      </c>
      <c r="U317" s="33">
        <f>IFERROR(VLOOKUP(A317,Devamsızlıklar!A:K,11,0),0)</f>
        <v>0</v>
      </c>
      <c r="V317" s="33">
        <f>VLOOKUP(U317,Aralıklar!$M$2:$O$6,3,1)</f>
        <v>50</v>
      </c>
      <c r="W317" s="40">
        <f>IF(X317=0,0,(T317+V317)*R317*VLOOKUP($W$2,'Kriter Ağırlık'!$A$1:$B$8,2,1)*E317)</f>
        <v>1.1111111111111112</v>
      </c>
      <c r="X317" s="40">
        <f>IFERROR(VLOOKUP(A317,Devamsızlıklar!A:M,13,0),1)</f>
        <v>1</v>
      </c>
      <c r="Y317" s="40">
        <f>(OEE!$K$6*VLOOKUP($Y$2,'Kriter Ağırlık'!$A$1:$B$8,2,1))*X317*E317</f>
        <v>3.8888888888888888</v>
      </c>
      <c r="Z317" s="40">
        <f>(TELEF!$I$10*VLOOKUP($Z$2,'Kriter Ağırlık'!$A$1:$B$8,2,1))*X317*E317</f>
        <v>1.6666666666666665</v>
      </c>
      <c r="AA317" s="40">
        <f t="shared" si="24"/>
        <v>8.6666666666666661</v>
      </c>
      <c r="AB317" s="1">
        <v>5</v>
      </c>
      <c r="AC317" s="33">
        <f>VLOOKUP(AB317,'Kriter Ağırlık'!$A$12:$C$17,3,0)</f>
        <v>18.5</v>
      </c>
      <c r="AD317" s="76">
        <v>5</v>
      </c>
      <c r="AE317" s="33">
        <f>VLOOKUP(AD317,'Kriter Ağırlık'!$E$12:$G$24,3,0)</f>
        <v>1</v>
      </c>
      <c r="AF317" s="92">
        <f t="shared" si="25"/>
        <v>160.33333333333331</v>
      </c>
      <c r="AG317" t="str">
        <f>VLOOKUP(A317,'Çalışan Listesi'!A:G,6,0)</f>
        <v>OPERATÖR</v>
      </c>
    </row>
    <row r="318" spans="1:33" x14ac:dyDescent="0.2">
      <c r="A318" s="2">
        <v>5339</v>
      </c>
      <c r="B318" s="3" t="s">
        <v>367</v>
      </c>
      <c r="C318" s="4">
        <v>44641</v>
      </c>
      <c r="D318" s="5">
        <f t="shared" si="27"/>
        <v>10</v>
      </c>
      <c r="E318" s="6">
        <f t="shared" si="23"/>
        <v>0.1111111111111111</v>
      </c>
      <c r="F318" s="25" t="s">
        <v>421</v>
      </c>
      <c r="G318" s="3" t="s">
        <v>86</v>
      </c>
      <c r="H318" s="106" t="str">
        <f>VLOOKUP(A318,'Çalışan Listesi'!A:G,7,0)</f>
        <v>1.KADEME</v>
      </c>
      <c r="I318" s="65">
        <f>IFERROR(VLOOKUP(A318,'Kaizen Listesi'!A:H,8,0),0)</f>
        <v>0</v>
      </c>
      <c r="J318" s="65">
        <f>I318*VLOOKUP($I$2,'Kriter Ağırlık'!$A$1:$B$8,2,0)</f>
        <v>0</v>
      </c>
      <c r="K318" s="65">
        <f>IFERROR(VLOOKUP(A318,'Hata Kartı '!A:H,8,0),0)</f>
        <v>0</v>
      </c>
      <c r="L318" s="65">
        <f>K318*(VLOOKUP($K$2,'Kriter Ağırlık'!$A$1:$B$8,2,0))</f>
        <v>0</v>
      </c>
      <c r="M318" s="65">
        <f>IFERROR(VLOOKUP(F318,'5S'!$B$8:$E$19,4,0),0)</f>
        <v>1</v>
      </c>
      <c r="N318" s="65">
        <f>VLOOKUP(M318,'5S'!$G$8:$I$14,3,1)*VLOOKUP($M$2,'Kriter Ağırlık'!$A$1:$B$8,2,0)*E318*X318</f>
        <v>0.88888888888888884</v>
      </c>
      <c r="O318" s="1">
        <f>IFERROR(VLOOKUP(A318,Devamsızlıklar!A:K,10,0),0)</f>
        <v>0</v>
      </c>
      <c r="P318" s="40">
        <f>VLOOKUP(O318,Aralıklar!$A$2:$C$5,3,1)*VLOOKUP($O$2,'Kriter Ağırlık'!$A$1:$B$8,2,0)*E318*X318</f>
        <v>1.1111111111111112</v>
      </c>
      <c r="Q318" s="1">
        <f>IFERROR(VLOOKUP(A318,Devamsızlıklar!A:K,8,0),0)</f>
        <v>0</v>
      </c>
      <c r="R318" s="33">
        <f>VLOOKUP(Q318,Aralıklar!$E$2:$G$5,3,1)</f>
        <v>1</v>
      </c>
      <c r="S318" s="33">
        <f>IFERROR(VLOOKUP(A318,Devamsızlıklar!A:K,9,0),0)</f>
        <v>0</v>
      </c>
      <c r="T318" s="33">
        <f>VLOOKUP(S318,Aralıklar!$I$2:$K$6,3,1)</f>
        <v>50</v>
      </c>
      <c r="U318" s="33">
        <f>IFERROR(VLOOKUP(A318,Devamsızlıklar!A:K,11,0),0)</f>
        <v>0</v>
      </c>
      <c r="V318" s="33">
        <f>VLOOKUP(U318,Aralıklar!$M$2:$O$6,3,1)</f>
        <v>50</v>
      </c>
      <c r="W318" s="40">
        <f>IF(X318=0,0,(T318+V318)*R318*VLOOKUP($W$2,'Kriter Ağırlık'!$A$1:$B$8,2,1)*E318)</f>
        <v>1.1111111111111112</v>
      </c>
      <c r="X318" s="40">
        <f>IFERROR(VLOOKUP(A318,Devamsızlıklar!A:M,13,0),1)</f>
        <v>1</v>
      </c>
      <c r="Y318" s="40">
        <f>(OEE!$K$6*VLOOKUP($Y$2,'Kriter Ağırlık'!$A$1:$B$8,2,1))*X318*E318</f>
        <v>3.8888888888888888</v>
      </c>
      <c r="Z318" s="40">
        <f>(TELEF!$I$10*VLOOKUP($Z$2,'Kriter Ağırlık'!$A$1:$B$8,2,1))*X318*E318</f>
        <v>1.6666666666666665</v>
      </c>
      <c r="AA318" s="40">
        <f t="shared" si="24"/>
        <v>8.6666666666666661</v>
      </c>
      <c r="AB318" s="1">
        <v>5</v>
      </c>
      <c r="AC318" s="33">
        <f>VLOOKUP(AB318,'Kriter Ağırlık'!$A$12:$C$17,3,0)</f>
        <v>18.5</v>
      </c>
      <c r="AD318" s="76">
        <v>5</v>
      </c>
      <c r="AE318" s="33">
        <f>VLOOKUP(AD318,'Kriter Ağırlık'!$E$12:$G$24,3,0)</f>
        <v>1</v>
      </c>
      <c r="AF318" s="92">
        <f t="shared" si="25"/>
        <v>160.33333333333331</v>
      </c>
      <c r="AG318" t="str">
        <f>VLOOKUP(A318,'Çalışan Listesi'!A:G,6,0)</f>
        <v>OPERATÖR</v>
      </c>
    </row>
    <row r="319" spans="1:33" x14ac:dyDescent="0.2">
      <c r="A319" s="2">
        <v>5340</v>
      </c>
      <c r="B319" s="3" t="s">
        <v>368</v>
      </c>
      <c r="C319" s="4">
        <v>44641</v>
      </c>
      <c r="D319" s="5">
        <f t="shared" si="27"/>
        <v>10</v>
      </c>
      <c r="E319" s="6">
        <f t="shared" si="23"/>
        <v>0.1111111111111111</v>
      </c>
      <c r="F319" s="25" t="s">
        <v>421</v>
      </c>
      <c r="G319" s="3" t="s">
        <v>86</v>
      </c>
      <c r="H319" s="106" t="str">
        <f>VLOOKUP(A319,'Çalışan Listesi'!A:G,7,0)</f>
        <v>1.KADEME</v>
      </c>
      <c r="I319" s="65">
        <f>IFERROR(VLOOKUP(A319,'Kaizen Listesi'!A:H,8,0),0)</f>
        <v>0</v>
      </c>
      <c r="J319" s="65">
        <f>I319*VLOOKUP($I$2,'Kriter Ağırlık'!$A$1:$B$8,2,0)</f>
        <v>0</v>
      </c>
      <c r="K319" s="65">
        <f>IFERROR(VLOOKUP(A319,'Hata Kartı '!A:H,8,0),0)</f>
        <v>0</v>
      </c>
      <c r="L319" s="65">
        <f>K319*(VLOOKUP($K$2,'Kriter Ağırlık'!$A$1:$B$8,2,0))</f>
        <v>0</v>
      </c>
      <c r="M319" s="65">
        <f>IFERROR(VLOOKUP(F319,'5S'!$B$8:$E$19,4,0),0)</f>
        <v>1</v>
      </c>
      <c r="N319" s="65">
        <f>VLOOKUP(M319,'5S'!$G$8:$I$14,3,1)*VLOOKUP($M$2,'Kriter Ağırlık'!$A$1:$B$8,2,0)*E319*X319</f>
        <v>0.88888888888888884</v>
      </c>
      <c r="O319" s="1">
        <f>IFERROR(VLOOKUP(A319,Devamsızlıklar!A:K,10,0),0)</f>
        <v>0</v>
      </c>
      <c r="P319" s="40">
        <f>VLOOKUP(O319,Aralıklar!$A$2:$C$5,3,1)*VLOOKUP($O$2,'Kriter Ağırlık'!$A$1:$B$8,2,0)*E319*X319</f>
        <v>1.1111111111111112</v>
      </c>
      <c r="Q319" s="1">
        <f>IFERROR(VLOOKUP(A319,Devamsızlıklar!A:K,8,0),0)</f>
        <v>0</v>
      </c>
      <c r="R319" s="33">
        <f>VLOOKUP(Q319,Aralıklar!$E$2:$G$5,3,1)</f>
        <v>1</v>
      </c>
      <c r="S319" s="33">
        <f>IFERROR(VLOOKUP(A319,Devamsızlıklar!A:K,9,0),0)</f>
        <v>0</v>
      </c>
      <c r="T319" s="33">
        <f>VLOOKUP(S319,Aralıklar!$I$2:$K$6,3,1)</f>
        <v>50</v>
      </c>
      <c r="U319" s="33">
        <f>IFERROR(VLOOKUP(A319,Devamsızlıklar!A:K,11,0),0)</f>
        <v>0</v>
      </c>
      <c r="V319" s="33">
        <f>VLOOKUP(U319,Aralıklar!$M$2:$O$6,3,1)</f>
        <v>50</v>
      </c>
      <c r="W319" s="40">
        <f>IF(X319=0,0,(T319+V319)*R319*VLOOKUP($W$2,'Kriter Ağırlık'!$A$1:$B$8,2,1)*E319)</f>
        <v>1.1111111111111112</v>
      </c>
      <c r="X319" s="40">
        <f>IFERROR(VLOOKUP(A319,Devamsızlıklar!A:M,13,0),1)</f>
        <v>1</v>
      </c>
      <c r="Y319" s="40">
        <f>(OEE!$K$6*VLOOKUP($Y$2,'Kriter Ağırlık'!$A$1:$B$8,2,1))*X319*E319</f>
        <v>3.8888888888888888</v>
      </c>
      <c r="Z319" s="40">
        <f>(TELEF!$I$10*VLOOKUP($Z$2,'Kriter Ağırlık'!$A$1:$B$8,2,1))*X319*E319</f>
        <v>1.6666666666666665</v>
      </c>
      <c r="AA319" s="40">
        <f t="shared" si="24"/>
        <v>8.6666666666666661</v>
      </c>
      <c r="AB319" s="1">
        <v>5</v>
      </c>
      <c r="AC319" s="33">
        <f>VLOOKUP(AB319,'Kriter Ağırlık'!$A$12:$C$17,3,0)</f>
        <v>18.5</v>
      </c>
      <c r="AD319" s="76">
        <v>5</v>
      </c>
      <c r="AE319" s="33">
        <f>VLOOKUP(AD319,'Kriter Ağırlık'!$E$12:$G$24,3,0)</f>
        <v>1</v>
      </c>
      <c r="AF319" s="92">
        <f t="shared" si="25"/>
        <v>160.33333333333331</v>
      </c>
      <c r="AG319" t="str">
        <f>VLOOKUP(A319,'Çalışan Listesi'!A:G,6,0)</f>
        <v>OPERATÖR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Çalışan Listesi</vt:lpstr>
      <vt:lpstr>Kriter Ağırlık</vt:lpstr>
      <vt:lpstr>Devamsızlıklar</vt:lpstr>
      <vt:lpstr>Kaizen Listesi</vt:lpstr>
      <vt:lpstr>Hata Kartı </vt:lpstr>
      <vt:lpstr>Aralıklar</vt:lpstr>
      <vt:lpstr>5S</vt:lpstr>
      <vt:lpstr>OEE</vt:lpstr>
      <vt:lpstr>TELEF</vt:lpstr>
      <vt:lpstr>Sonuç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Mansur</cp:lastModifiedBy>
  <cp:revision>1</cp:revision>
  <dcterms:created xsi:type="dcterms:W3CDTF">2022-04-14T06:38:01Z</dcterms:created>
  <dcterms:modified xsi:type="dcterms:W3CDTF">2022-10-20T12:27:37Z</dcterms:modified>
  <cp:category/>
</cp:coreProperties>
</file>